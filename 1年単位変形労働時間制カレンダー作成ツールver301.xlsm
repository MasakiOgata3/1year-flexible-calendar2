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hlc-my.sharepoint.com/personal/common_shlc_onmicrosoft_com/Documents/事務所内共有フォルダ/7003_ツール/■運用中/１年単位変形労働時間制カレンダー/"/>
    </mc:Choice>
  </mc:AlternateContent>
  <xr:revisionPtr revIDLastSave="103937" documentId="8_{D0F51B8B-7258-4454-B1A8-48F069952127}" xr6:coauthVersionLast="47" xr6:coauthVersionMax="47" xr10:uidLastSave="{DF4FFE88-2047-4B74-930A-A4F86D074763}"/>
  <bookViews>
    <workbookView xWindow="-110" yWindow="-110" windowWidth="27580" windowHeight="17740" xr2:uid="{7BF6EDDD-94F5-4016-857F-FC04A3D09D36}"/>
  </bookViews>
  <sheets>
    <sheet name="作成" sheetId="2" r:id="rId1"/>
    <sheet name="使い方・使用許諾" sheetId="34" r:id="rId2"/>
    <sheet name="祝日CSV" sheetId="15" state="veryHidden" r:id="rId3"/>
  </sheets>
  <functionGroups builtInGroupCount="19"/>
  <definedNames>
    <definedName name="_xlnm.Print_Area" localSheetId="0">作成!$A$9:$AF$64</definedName>
    <definedName name="基準月">作成!$A$10:$H$22</definedName>
    <definedName name="基準日">作成!$A$11</definedName>
    <definedName name="基準曜日">作成!$A$10</definedName>
    <definedName name="起算日時間">作成!$A$11</definedName>
    <definedName name="起算日曜日">作成!$A$10</definedName>
    <definedName name="週">作成!$S$67:$Y$67</definedName>
    <definedName name="初月">作成!$A$10:$H$22</definedName>
    <definedName name="先週">作成!$J$65:$P$65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67" i="2" l="1"/>
  <c r="Z65" i="2"/>
  <c r="Z63" i="2"/>
  <c r="Z61" i="2"/>
  <c r="Z59" i="2"/>
  <c r="Z57" i="2"/>
  <c r="Q63" i="2"/>
  <c r="Q61" i="2"/>
  <c r="Q59" i="2"/>
  <c r="Q57" i="2"/>
  <c r="H63" i="2"/>
  <c r="H61" i="2"/>
  <c r="H59" i="2"/>
  <c r="H57" i="2"/>
  <c r="Z48" i="2"/>
  <c r="Z46" i="2"/>
  <c r="Z44" i="2"/>
  <c r="Z42" i="2"/>
  <c r="Q50" i="2"/>
  <c r="Q48" i="2"/>
  <c r="Q46" i="2"/>
  <c r="Q44" i="2"/>
  <c r="Q42" i="2"/>
  <c r="H48" i="2"/>
  <c r="H46" i="2"/>
  <c r="H44" i="2"/>
  <c r="H42" i="2"/>
  <c r="Z33" i="2"/>
  <c r="Z31" i="2"/>
  <c r="Z29" i="2"/>
  <c r="Z27" i="2"/>
  <c r="Q35" i="2"/>
  <c r="Q33" i="2"/>
  <c r="Q31" i="2"/>
  <c r="Q29" i="2"/>
  <c r="Q27" i="2"/>
  <c r="H33" i="2"/>
  <c r="H31" i="2"/>
  <c r="H29" i="2"/>
  <c r="H27" i="2"/>
  <c r="Z20" i="2"/>
  <c r="Z18" i="2"/>
  <c r="Z16" i="2"/>
  <c r="Z14" i="2"/>
  <c r="Z12" i="2"/>
  <c r="Q18" i="2"/>
  <c r="Q16" i="2"/>
  <c r="Q14" i="2"/>
  <c r="Q12" i="2"/>
  <c r="H18" i="2"/>
  <c r="H16" i="2"/>
  <c r="H14" i="2"/>
  <c r="H12" i="2"/>
  <c r="AF17" i="2"/>
  <c r="AF21" i="2"/>
  <c r="AD21" i="2"/>
  <c r="AC21" i="2"/>
  <c r="AD16" i="2" l="1"/>
  <c r="AD15" i="2"/>
  <c r="AD14" i="2"/>
  <c r="AD17" i="2"/>
  <c r="AD18" i="2"/>
  <c r="AD19" i="2"/>
  <c r="AC22" i="2"/>
  <c r="AC20" i="2"/>
  <c r="AC19" i="2"/>
  <c r="AC18" i="2"/>
  <c r="AC17" i="2"/>
  <c r="AC16" i="2"/>
  <c r="AC15" i="2"/>
  <c r="AC14" i="2"/>
  <c r="AD20" i="2"/>
  <c r="AD22" i="2"/>
  <c r="AF22" i="2"/>
  <c r="AF20" i="2"/>
  <c r="AF19" i="2"/>
  <c r="AF18" i="2"/>
  <c r="AF16" i="2"/>
  <c r="AF15" i="2"/>
  <c r="AF14" i="2"/>
  <c r="AF13" i="2"/>
  <c r="AD13" i="2"/>
  <c r="AC13" i="2"/>
  <c r="AF12" i="2"/>
  <c r="AD12" i="2"/>
  <c r="AC12" i="2"/>
  <c r="AF11" i="2"/>
  <c r="AD11" i="2"/>
  <c r="AC11" i="2"/>
  <c r="AE13" i="2" l="1"/>
  <c r="AE12" i="2"/>
  <c r="AE20" i="2"/>
  <c r="AE19" i="2"/>
  <c r="AE11" i="2"/>
  <c r="AE16" i="2"/>
  <c r="AE15" i="2"/>
  <c r="AE14" i="2"/>
  <c r="AE17" i="2"/>
  <c r="AE18" i="2"/>
  <c r="AE22" i="2"/>
  <c r="AE21" i="2"/>
  <c r="AD23" i="2"/>
  <c r="AF23" i="2"/>
  <c r="AE23" i="2" l="1"/>
  <c r="AC23" i="2"/>
  <c r="AF2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篠原 宏治</author>
  </authors>
  <commentList>
    <comment ref="O11" authorId="0" shapeId="0" xr:uid="{05192551-E2D4-466B-81F9-B407310C985D}">
      <text>
        <r>
          <rPr>
            <sz val="9"/>
            <color indexed="81"/>
            <rFont val="MS P ゴシック"/>
            <family val="3"/>
            <charset val="128"/>
          </rPr>
          <t>憲法記念日</t>
        </r>
      </text>
    </comment>
    <comment ref="P11" authorId="0" shapeId="0" xr:uid="{1227C219-C00C-41E0-B451-9A23637ADCB0}">
      <text>
        <r>
          <rPr>
            <sz val="9"/>
            <color indexed="81"/>
            <rFont val="MS P ゴシック"/>
            <family val="3"/>
            <charset val="128"/>
          </rPr>
          <t>みどりの日</t>
        </r>
      </text>
    </comment>
    <comment ref="J13" authorId="0" shapeId="0" xr:uid="{CD57A4E2-3CD1-436F-8772-F8699C002BC6}">
      <text>
        <r>
          <rPr>
            <sz val="9"/>
            <color indexed="81"/>
            <rFont val="MS P ゴシック"/>
            <family val="3"/>
            <charset val="128"/>
          </rPr>
          <t>こどもの日</t>
        </r>
      </text>
    </comment>
    <comment ref="K13" authorId="0" shapeId="0" xr:uid="{A9ECF12B-9124-491C-A212-6CCE325A9A08}">
      <text>
        <r>
          <rPr>
            <sz val="9"/>
            <color indexed="81"/>
            <rFont val="MS P ゴシック"/>
            <family val="3"/>
            <charset val="128"/>
          </rPr>
          <t>休日</t>
        </r>
      </text>
    </comment>
    <comment ref="B19" authorId="0" shapeId="0" xr:uid="{5FB65C97-4786-4F3B-9EB1-2C7D8427C1B5}">
      <text>
        <r>
          <rPr>
            <sz val="9"/>
            <color indexed="81"/>
            <rFont val="MS P ゴシック"/>
            <family val="3"/>
            <charset val="128"/>
          </rPr>
          <t>昭和の日</t>
        </r>
      </text>
    </comment>
    <comment ref="B30" authorId="0" shapeId="0" xr:uid="{7AFADBE7-C29A-4026-A3F5-52319E723FFD}">
      <text>
        <r>
          <rPr>
            <sz val="9"/>
            <color indexed="81"/>
            <rFont val="MS P ゴシック"/>
            <family val="3"/>
            <charset val="128"/>
          </rPr>
          <t>海の日</t>
        </r>
      </text>
    </comment>
    <comment ref="J30" authorId="0" shapeId="0" xr:uid="{1C9A76B5-9B03-467C-A5EF-E506920F8666}">
      <text>
        <r>
          <rPr>
            <sz val="9"/>
            <color indexed="81"/>
            <rFont val="MS P ゴシック"/>
            <family val="3"/>
            <charset val="128"/>
          </rPr>
          <t>山の日</t>
        </r>
      </text>
    </comment>
    <comment ref="K30" authorId="0" shapeId="0" xr:uid="{5607A40B-D5DA-4238-8F0B-D8BFFFD5CA9A}">
      <text>
        <r>
          <rPr>
            <sz val="9"/>
            <color indexed="81"/>
            <rFont val="MS P ゴシック"/>
            <family val="3"/>
            <charset val="128"/>
          </rPr>
          <t>休日</t>
        </r>
      </text>
    </comment>
    <comment ref="T30" authorId="0" shapeId="0" xr:uid="{D723981F-DBE4-46AC-A531-18328C998435}">
      <text>
        <r>
          <rPr>
            <sz val="9"/>
            <color indexed="81"/>
            <rFont val="MS P ゴシック"/>
            <family val="3"/>
            <charset val="128"/>
          </rPr>
          <t>敬老の日</t>
        </r>
      </text>
    </comment>
    <comment ref="S32" authorId="0" shapeId="0" xr:uid="{F6775C68-3659-4F1C-89AB-464CF8BBFA15}">
      <text>
        <r>
          <rPr>
            <sz val="9"/>
            <color indexed="81"/>
            <rFont val="MS P ゴシック"/>
            <family val="3"/>
            <charset val="128"/>
          </rPr>
          <t>秋分の日</t>
        </r>
      </text>
    </comment>
    <comment ref="T32" authorId="0" shapeId="0" xr:uid="{179EEAB2-628E-4D48-814D-F00108436B8F}">
      <text>
        <r>
          <rPr>
            <sz val="9"/>
            <color indexed="81"/>
            <rFont val="MS P ゴシック"/>
            <family val="3"/>
            <charset val="128"/>
          </rPr>
          <t>休日</t>
        </r>
      </text>
    </comment>
    <comment ref="J43" authorId="0" shapeId="0" xr:uid="{CB9A1014-4B37-4200-BAFD-A335EF5C5F17}">
      <text>
        <r>
          <rPr>
            <sz val="9"/>
            <color indexed="81"/>
            <rFont val="MS P ゴシック"/>
            <family val="3"/>
            <charset val="128"/>
          </rPr>
          <t>文化の日</t>
        </r>
      </text>
    </comment>
    <comment ref="K43" authorId="0" shapeId="0" xr:uid="{D0CBBC10-EE91-44B4-865B-5CE4AA8C533B}">
      <text>
        <r>
          <rPr>
            <sz val="9"/>
            <color indexed="81"/>
            <rFont val="MS P ゴシック"/>
            <family val="3"/>
            <charset val="128"/>
          </rPr>
          <t>休日</t>
        </r>
      </text>
    </comment>
    <comment ref="B45" authorId="0" shapeId="0" xr:uid="{70310DDC-40BE-4270-9DF8-5ADB45BAE21A}">
      <text>
        <r>
          <rPr>
            <sz val="9"/>
            <color indexed="81"/>
            <rFont val="MS P ゴシック"/>
            <family val="3"/>
            <charset val="128"/>
          </rPr>
          <t>スポーツの日</t>
        </r>
      </text>
    </comment>
    <comment ref="P47" authorId="0" shapeId="0" xr:uid="{E768BCCC-4B03-4223-8234-6D05DF1F5572}">
      <text>
        <r>
          <rPr>
            <sz val="9"/>
            <color indexed="81"/>
            <rFont val="MS P ゴシック"/>
            <family val="3"/>
            <charset val="128"/>
          </rPr>
          <t>勤労感謝の日</t>
        </r>
      </text>
    </comment>
    <comment ref="D56" authorId="0" shapeId="0" xr:uid="{7698DDB2-00C6-4195-8895-912165D407C3}">
      <text>
        <r>
          <rPr>
            <sz val="9"/>
            <color indexed="81"/>
            <rFont val="MS P ゴシック"/>
            <family val="3"/>
            <charset val="128"/>
          </rPr>
          <t>元日</t>
        </r>
      </text>
    </comment>
    <comment ref="B60" authorId="0" shapeId="0" xr:uid="{D36191CA-8D20-4F46-80AB-F59512F42C1F}">
      <text>
        <r>
          <rPr>
            <sz val="9"/>
            <color indexed="81"/>
            <rFont val="MS P ゴシック"/>
            <family val="3"/>
            <charset val="128"/>
          </rPr>
          <t>成人の日</t>
        </r>
      </text>
    </comment>
    <comment ref="L60" authorId="0" shapeId="0" xr:uid="{EF1BCCD3-B857-4D2C-9637-68D6EE3BB1C1}">
      <text>
        <r>
          <rPr>
            <sz val="9"/>
            <color indexed="81"/>
            <rFont val="MS P ゴシック"/>
            <family val="3"/>
            <charset val="128"/>
          </rPr>
          <t>建国記念の日</t>
        </r>
      </text>
    </comment>
    <comment ref="W62" authorId="0" shapeId="0" xr:uid="{1BCC29ED-174A-439C-9AE9-39535CCA3EB8}">
      <text>
        <r>
          <rPr>
            <sz val="9"/>
            <color indexed="81"/>
            <rFont val="MS P ゴシック"/>
            <family val="3"/>
            <charset val="128"/>
          </rPr>
          <t>春分の日</t>
        </r>
      </text>
    </comment>
    <comment ref="J64" authorId="0" shapeId="0" xr:uid="{2824FFEE-B602-44F0-9ED7-5BF5C064BC08}">
      <text>
        <r>
          <rPr>
            <sz val="9"/>
            <color indexed="81"/>
            <rFont val="MS P ゴシック"/>
            <family val="3"/>
            <charset val="128"/>
          </rPr>
          <t>天皇誕生日</t>
        </r>
      </text>
    </comment>
    <comment ref="K64" authorId="0" shapeId="0" xr:uid="{2B1A1968-A51C-454F-804D-E7FE9BE50AF8}">
      <text>
        <r>
          <rPr>
            <sz val="9"/>
            <color indexed="81"/>
            <rFont val="MS P ゴシック"/>
            <family val="3"/>
            <charset val="128"/>
          </rPr>
          <t>休日</t>
        </r>
      </text>
    </comment>
  </commentList>
</comments>
</file>

<file path=xl/sharedStrings.xml><?xml version="1.0" encoding="utf-8"?>
<sst xmlns="http://schemas.openxmlformats.org/spreadsheetml/2006/main" count="344" uniqueCount="109">
  <si>
    <t>火</t>
  </si>
  <si>
    <t>水</t>
  </si>
  <si>
    <t>木</t>
  </si>
  <si>
    <t>金</t>
  </si>
  <si>
    <t>土</t>
  </si>
  <si>
    <t>国民の祝日・休日月日</t>
  </si>
  <si>
    <t>国民の祝日・休日名称</t>
  </si>
  <si>
    <t>元日</t>
  </si>
  <si>
    <t>成人の日</t>
  </si>
  <si>
    <t>春分の日</t>
  </si>
  <si>
    <t>天皇誕生日</t>
  </si>
  <si>
    <t>憲法記念日</t>
  </si>
  <si>
    <t>こどもの日</t>
  </si>
  <si>
    <t>秋分の日</t>
  </si>
  <si>
    <t>文化の日</t>
  </si>
  <si>
    <t>勤労感謝の日</t>
  </si>
  <si>
    <t>敬老の日</t>
  </si>
  <si>
    <t>建国記念の日</t>
  </si>
  <si>
    <t>休日</t>
  </si>
  <si>
    <t>みどりの日</t>
  </si>
  <si>
    <t>海の日</t>
  </si>
  <si>
    <t>昭和の日</t>
  </si>
  <si>
    <t>山の日</t>
  </si>
  <si>
    <t>スポーツの日</t>
  </si>
  <si>
    <t>日</t>
  </si>
  <si>
    <t>月</t>
  </si>
  <si>
    <t>休</t>
  </si>
  <si>
    <t>休日</t>
    <rPh sb="0" eb="2">
      <t>キュウジツ</t>
    </rPh>
    <phoneticPr fontId="1"/>
  </si>
  <si>
    <t>週計</t>
  </si>
  <si>
    <t>休</t>
    <phoneticPr fontId="1"/>
  </si>
  <si>
    <t>労働時間</t>
    <rPh sb="0" eb="4">
      <t>ロウドウジカン</t>
    </rPh>
    <phoneticPr fontId="1"/>
  </si>
  <si>
    <t>月</t>
    <rPh sb="0" eb="1">
      <t>ツキ</t>
    </rPh>
    <phoneticPr fontId="1"/>
  </si>
  <si>
    <t>合計</t>
    <rPh sb="0" eb="2">
      <t>ゴウケイ</t>
    </rPh>
    <phoneticPr fontId="1"/>
  </si>
  <si>
    <t>週平均</t>
    <rPh sb="0" eb="3">
      <t>シュウヘイキン</t>
    </rPh>
    <phoneticPr fontId="1"/>
  </si>
  <si>
    <t>労働日</t>
    <rPh sb="0" eb="3">
      <t>ロウドウビ</t>
    </rPh>
    <phoneticPr fontId="1"/>
  </si>
  <si>
    <t>暦日</t>
    <rPh sb="0" eb="2">
      <t>レキジツ</t>
    </rPh>
    <phoneticPr fontId="1"/>
  </si>
  <si>
    <t>総労働日数が280日を超えていないか</t>
    <rPh sb="0" eb="5">
      <t>ソウロウドウニッスウ</t>
    </rPh>
    <rPh sb="9" eb="10">
      <t>ニチ</t>
    </rPh>
    <rPh sb="11" eb="12">
      <t>コ</t>
    </rPh>
    <phoneticPr fontId="1"/>
  </si>
  <si>
    <t>週の最長労働時間が52時間を超えていないか</t>
    <rPh sb="0" eb="1">
      <t>シュウ</t>
    </rPh>
    <rPh sb="2" eb="8">
      <t>サイチョウロウドウジカン</t>
    </rPh>
    <rPh sb="11" eb="13">
      <t>ジカン</t>
    </rPh>
    <rPh sb="14" eb="15">
      <t>コ</t>
    </rPh>
    <phoneticPr fontId="1"/>
  </si>
  <si>
    <t>1日の最長労働時間が10時間を超えていないか</t>
    <rPh sb="1" eb="2">
      <t>ニチ</t>
    </rPh>
    <rPh sb="3" eb="9">
      <t>サイチョウロウドウジカン</t>
    </rPh>
    <rPh sb="12" eb="14">
      <t>ジカン</t>
    </rPh>
    <rPh sb="15" eb="16">
      <t>コ</t>
    </rPh>
    <phoneticPr fontId="1"/>
  </si>
  <si>
    <t>連続労働日数が6日（特定期間は12日）を超えていないか</t>
    <rPh sb="0" eb="6">
      <t>レンゾクロウドウニッスウ</t>
    </rPh>
    <rPh sb="8" eb="9">
      <t>ニチ</t>
    </rPh>
    <rPh sb="10" eb="14">
      <t>トクテイキカン</t>
    </rPh>
    <rPh sb="17" eb="18">
      <t>ニチ</t>
    </rPh>
    <rPh sb="20" eb="21">
      <t>コ</t>
    </rPh>
    <phoneticPr fontId="1"/>
  </si>
  <si>
    <t>対象期間の総労働時間が週平均40時間を超えていないか</t>
    <rPh sb="0" eb="4">
      <t>タイショウキカン</t>
    </rPh>
    <rPh sb="5" eb="10">
      <t>ソウロウドウジカン</t>
    </rPh>
    <rPh sb="11" eb="14">
      <t>シュウヘイキン</t>
    </rPh>
    <rPh sb="16" eb="18">
      <t>ジカン</t>
    </rPh>
    <rPh sb="19" eb="20">
      <t>コ</t>
    </rPh>
    <phoneticPr fontId="1"/>
  </si>
  <si>
    <t>48時間を超える週が連続3週を超えていないか</t>
    <rPh sb="2" eb="4">
      <t>ジカン</t>
    </rPh>
    <rPh sb="5" eb="6">
      <t>コ</t>
    </rPh>
    <rPh sb="8" eb="9">
      <t>シュウ</t>
    </rPh>
    <rPh sb="10" eb="12">
      <t>レンゾク</t>
    </rPh>
    <rPh sb="13" eb="14">
      <t>シュウ</t>
    </rPh>
    <rPh sb="15" eb="16">
      <t>コ</t>
    </rPh>
    <phoneticPr fontId="1"/>
  </si>
  <si>
    <t>○</t>
    <phoneticPr fontId="1"/>
  </si>
  <si>
    <t>チェック項目</t>
    <rPh sb="4" eb="6">
      <t>コウモク</t>
    </rPh>
    <phoneticPr fontId="1"/>
  </si>
  <si>
    <t>値</t>
    <rPh sb="0" eb="1">
      <t>アタイ</t>
    </rPh>
    <phoneticPr fontId="1"/>
  </si>
  <si>
    <t>結果</t>
    <rPh sb="0" eb="2">
      <t>ケッカ</t>
    </rPh>
    <phoneticPr fontId="1"/>
  </si>
  <si>
    <t>起算日から3か月ごとに区切った各期間において48時間超の週の初日が3回を超えていないか</t>
    <rPh sb="0" eb="3">
      <t>キサンビ</t>
    </rPh>
    <rPh sb="7" eb="8">
      <t>ゲツ</t>
    </rPh>
    <rPh sb="11" eb="13">
      <t>クギ</t>
    </rPh>
    <rPh sb="15" eb="18">
      <t>カクキカン</t>
    </rPh>
    <rPh sb="24" eb="26">
      <t>ジカン</t>
    </rPh>
    <rPh sb="26" eb="27">
      <t>コ</t>
    </rPh>
    <rPh sb="28" eb="29">
      <t>シュウ</t>
    </rPh>
    <rPh sb="30" eb="32">
      <t>ショニチ</t>
    </rPh>
    <rPh sb="34" eb="35">
      <t>カイ</t>
    </rPh>
    <rPh sb="36" eb="37">
      <t>コ</t>
    </rPh>
    <phoneticPr fontId="1"/>
  </si>
  <si>
    <t>使用許諾</t>
    <rPh sb="0" eb="2">
      <t>シヨウ</t>
    </rPh>
    <rPh sb="2" eb="4">
      <t>キョダク</t>
    </rPh>
    <phoneticPr fontId="1"/>
  </si>
  <si>
    <t>使い方</t>
    <rPh sb="0" eb="1">
      <t>ツカ</t>
    </rPh>
    <rPh sb="2" eb="3">
      <t>カタ</t>
    </rPh>
    <phoneticPr fontId="1"/>
  </si>
  <si>
    <t>1．「起算日」「1日の所定労働時間」「週の開始曜日」「休日」を設定して、作成ボタンを押してください。</t>
    <rPh sb="3" eb="6">
      <t>キサンビ</t>
    </rPh>
    <rPh sb="9" eb="10">
      <t>ニチ</t>
    </rPh>
    <rPh sb="11" eb="13">
      <t>ショテイ</t>
    </rPh>
    <rPh sb="13" eb="17">
      <t>ロウドウジカン</t>
    </rPh>
    <rPh sb="19" eb="20">
      <t>シュウ</t>
    </rPh>
    <rPh sb="21" eb="25">
      <t>カイシヨウビ</t>
    </rPh>
    <rPh sb="27" eb="29">
      <t>キュウジツ</t>
    </rPh>
    <rPh sb="31" eb="33">
      <t>セッテイ</t>
    </rPh>
    <rPh sb="36" eb="38">
      <t>サクセイ</t>
    </rPh>
    <rPh sb="42" eb="43">
      <t>オ</t>
    </rPh>
    <phoneticPr fontId="1"/>
  </si>
  <si>
    <t>2．日ごとに労働時間や休日を設定したい場合は、カレンダーに直接、労働時間又は休日を入力してください。</t>
    <rPh sb="2" eb="3">
      <t>ヒ</t>
    </rPh>
    <rPh sb="6" eb="10">
      <t>ロウドウジカン</t>
    </rPh>
    <rPh sb="11" eb="13">
      <t>キュウジツ</t>
    </rPh>
    <rPh sb="14" eb="16">
      <t>セッテイ</t>
    </rPh>
    <rPh sb="19" eb="21">
      <t>バアイ</t>
    </rPh>
    <rPh sb="29" eb="31">
      <t>チョクセツ</t>
    </rPh>
    <rPh sb="32" eb="36">
      <t>ロウドウジカン</t>
    </rPh>
    <rPh sb="36" eb="37">
      <t>マタ</t>
    </rPh>
    <rPh sb="38" eb="40">
      <t>キュウジツ</t>
    </rPh>
    <rPh sb="41" eb="43">
      <t>ニュウリョク</t>
    </rPh>
    <phoneticPr fontId="1"/>
  </si>
  <si>
    <t>このツールについて</t>
    <phoneticPr fontId="1"/>
  </si>
  <si>
    <t>・当ツールの著作権及び知的所有権は、社会保険労務士事務所しのはら労働コンサルタントに帰属します。</t>
    <rPh sb="1" eb="2">
      <t>トウ</t>
    </rPh>
    <rPh sb="6" eb="9">
      <t>チョサクケン</t>
    </rPh>
    <rPh sb="9" eb="10">
      <t>オヨ</t>
    </rPh>
    <rPh sb="11" eb="13">
      <t>チテキ</t>
    </rPh>
    <rPh sb="13" eb="16">
      <t>ショユウケン</t>
    </rPh>
    <rPh sb="18" eb="25">
      <t>シャカイホケンロウムシ</t>
    </rPh>
    <rPh sb="25" eb="28">
      <t>ジムショ</t>
    </rPh>
    <rPh sb="32" eb="34">
      <t>ロウドウ</t>
    </rPh>
    <rPh sb="42" eb="44">
      <t>キゾク</t>
    </rPh>
    <phoneticPr fontId="1"/>
  </si>
  <si>
    <t>・当ツールの全部または一部の再配布、再使用許諾及び公開することを禁止します。</t>
    <rPh sb="1" eb="2">
      <t>トウ</t>
    </rPh>
    <rPh sb="6" eb="8">
      <t>ゼンブ</t>
    </rPh>
    <rPh sb="11" eb="13">
      <t>イチブ</t>
    </rPh>
    <rPh sb="14" eb="17">
      <t>サイハイフ</t>
    </rPh>
    <rPh sb="18" eb="21">
      <t>サイシヨウ</t>
    </rPh>
    <rPh sb="21" eb="23">
      <t>キョダク</t>
    </rPh>
    <rPh sb="23" eb="24">
      <t>オヨ</t>
    </rPh>
    <rPh sb="25" eb="27">
      <t>コウカイ</t>
    </rPh>
    <rPh sb="32" eb="34">
      <t>キンシ</t>
    </rPh>
    <phoneticPr fontId="1"/>
  </si>
  <si>
    <t>・当ツールの利用により発生したトラブル・損失・損害については、一切責任を負いません。ご利用にあたっては自己責任でお願いします。</t>
    <phoneticPr fontId="1"/>
  </si>
  <si>
    <t>作成・配付</t>
    <rPh sb="0" eb="2">
      <t>サクセイ</t>
    </rPh>
    <rPh sb="3" eb="5">
      <t>ハイフ</t>
    </rPh>
    <phoneticPr fontId="1"/>
  </si>
  <si>
    <t>社会保険労務士事務所しのはら労働コンサルタント</t>
    <rPh sb="0" eb="2">
      <t>シャカイ</t>
    </rPh>
    <rPh sb="2" eb="4">
      <t>ホケン</t>
    </rPh>
    <rPh sb="4" eb="7">
      <t>ロウムシ</t>
    </rPh>
    <rPh sb="7" eb="10">
      <t>ジムショ</t>
    </rPh>
    <rPh sb="14" eb="16">
      <t>ロウドウ</t>
    </rPh>
    <phoneticPr fontId="1"/>
  </si>
  <si>
    <t>社会保険労務士　篠原宏治</t>
    <phoneticPr fontId="1"/>
  </si>
  <si>
    <t>〒168-0062　東京都杉並区方南1-2-10-1F</t>
    <rPh sb="10" eb="18">
      <t>１６８－００６２</t>
    </rPh>
    <phoneticPr fontId="1"/>
  </si>
  <si>
    <t>TEL</t>
    <phoneticPr fontId="1"/>
  </si>
  <si>
    <t>03-6300-4323</t>
    <phoneticPr fontId="1"/>
  </si>
  <si>
    <t>FAX</t>
    <phoneticPr fontId="1"/>
  </si>
  <si>
    <t>03-6300-4324</t>
    <phoneticPr fontId="1"/>
  </si>
  <si>
    <t>メール</t>
    <phoneticPr fontId="1"/>
  </si>
  <si>
    <t>mail@shlc.jp</t>
    <phoneticPr fontId="1"/>
  </si>
  <si>
    <t>元労働基準監督官による労務相談とエクセル業務効率化に強い社労士事務所です。</t>
    <rPh sb="0" eb="1">
      <t>モト</t>
    </rPh>
    <rPh sb="1" eb="3">
      <t>ロウドウ</t>
    </rPh>
    <rPh sb="3" eb="5">
      <t>キジュン</t>
    </rPh>
    <rPh sb="5" eb="8">
      <t>カントクカン</t>
    </rPh>
    <rPh sb="11" eb="13">
      <t>ロウム</t>
    </rPh>
    <rPh sb="13" eb="15">
      <t>ソウダン</t>
    </rPh>
    <rPh sb="20" eb="22">
      <t>ギョウム</t>
    </rPh>
    <rPh sb="22" eb="25">
      <t>コウリツカ</t>
    </rPh>
    <rPh sb="26" eb="27">
      <t>ツヨ</t>
    </rPh>
    <rPh sb="28" eb="31">
      <t>シャロウシ</t>
    </rPh>
    <rPh sb="31" eb="33">
      <t>ジム</t>
    </rPh>
    <rPh sb="33" eb="34">
      <t>ショ</t>
    </rPh>
    <phoneticPr fontId="1"/>
  </si>
  <si>
    <t>労務相談、社会保険・労働保険手続き、給与計算のご依頼を随時受け付けております。</t>
    <rPh sb="0" eb="2">
      <t>ロウム</t>
    </rPh>
    <rPh sb="2" eb="4">
      <t>ソウダン</t>
    </rPh>
    <rPh sb="5" eb="7">
      <t>シャカイ</t>
    </rPh>
    <rPh sb="7" eb="9">
      <t>ホケン</t>
    </rPh>
    <rPh sb="10" eb="12">
      <t>ロウドウ</t>
    </rPh>
    <rPh sb="12" eb="14">
      <t>ホケン</t>
    </rPh>
    <rPh sb="14" eb="16">
      <t>テツヅ</t>
    </rPh>
    <rPh sb="18" eb="20">
      <t>キュウヨ</t>
    </rPh>
    <rPh sb="20" eb="22">
      <t>ケイサン</t>
    </rPh>
    <rPh sb="24" eb="26">
      <t>イライ</t>
    </rPh>
    <rPh sb="27" eb="29">
      <t>ズイジ</t>
    </rPh>
    <rPh sb="29" eb="30">
      <t>ウ</t>
    </rPh>
    <rPh sb="31" eb="32">
      <t>ツ</t>
    </rPh>
    <phoneticPr fontId="1"/>
  </si>
  <si>
    <t>お気軽にお問い合わせください。</t>
    <rPh sb="1" eb="3">
      <t>キガル</t>
    </rPh>
    <rPh sb="5" eb="6">
      <t>ト</t>
    </rPh>
    <rPh sb="7" eb="8">
      <t>ア</t>
    </rPh>
    <phoneticPr fontId="1"/>
  </si>
  <si>
    <t>・1年単位の変形労働時間制を導入する場合の年間カレンダーを作成するツールです。</t>
    <rPh sb="2" eb="5">
      <t>ネンタンイ</t>
    </rPh>
    <rPh sb="6" eb="8">
      <t>ヘンケイ</t>
    </rPh>
    <rPh sb="8" eb="10">
      <t>ロウドウ</t>
    </rPh>
    <rPh sb="10" eb="12">
      <t>ジカン</t>
    </rPh>
    <rPh sb="12" eb="13">
      <t>セイ</t>
    </rPh>
    <rPh sb="14" eb="16">
      <t>ドウニュウ</t>
    </rPh>
    <rPh sb="18" eb="20">
      <t>バアイ</t>
    </rPh>
    <rPh sb="21" eb="23">
      <t>ネンカン</t>
    </rPh>
    <rPh sb="29" eb="31">
      <t>サクセイ</t>
    </rPh>
    <phoneticPr fontId="1"/>
  </si>
  <si>
    <t>4．「シート出力」ボタンを押すと、作成したカレンダーを別シートに出力します。レイアウトの変更を行いたい場合やシートごとに複数年管理したい場合などにご利用ください。</t>
    <rPh sb="6" eb="8">
      <t>シュツリョク</t>
    </rPh>
    <rPh sb="13" eb="14">
      <t>オ</t>
    </rPh>
    <rPh sb="17" eb="19">
      <t>サクセイ</t>
    </rPh>
    <rPh sb="27" eb="28">
      <t>ベツ</t>
    </rPh>
    <rPh sb="32" eb="34">
      <t>シュツリョク</t>
    </rPh>
    <rPh sb="44" eb="46">
      <t>ヘンコウ</t>
    </rPh>
    <rPh sb="47" eb="48">
      <t>オコナ</t>
    </rPh>
    <rPh sb="51" eb="53">
      <t>バアイ</t>
    </rPh>
    <rPh sb="60" eb="65">
      <t>フクスウネンカンリ</t>
    </rPh>
    <rPh sb="68" eb="70">
      <t>バアイ</t>
    </rPh>
    <rPh sb="74" eb="76">
      <t>リヨウ</t>
    </rPh>
    <phoneticPr fontId="1"/>
  </si>
  <si>
    <t>3．「要件チェック」ボタンを押すと、1年単位変形労働時間制の法定上の要件を満たしているかチェックを行います。</t>
    <rPh sb="3" eb="5">
      <t>ヨウケン</t>
    </rPh>
    <rPh sb="14" eb="15">
      <t>オ</t>
    </rPh>
    <rPh sb="19" eb="29">
      <t>ネンタンイヘンケイロウドウジカンセイ</t>
    </rPh>
    <rPh sb="30" eb="33">
      <t>ホウテイジョウ</t>
    </rPh>
    <rPh sb="34" eb="36">
      <t>ヨウケン</t>
    </rPh>
    <rPh sb="37" eb="38">
      <t>ミ</t>
    </rPh>
    <rPh sb="49" eb="50">
      <t>オコナ</t>
    </rPh>
    <phoneticPr fontId="1"/>
  </si>
  <si>
    <t>　　作成ボタンを押したときは要件チェックを行っています。手入力でカレンダーを編集した後に実行してください。</t>
    <phoneticPr fontId="1"/>
  </si>
  <si>
    <t>・作成したカレンダーの要件チェックを行います。</t>
    <rPh sb="1" eb="3">
      <t>サクセイ</t>
    </rPh>
    <rPh sb="11" eb="13">
      <t>ヨウケン</t>
    </rPh>
    <rPh sb="18" eb="19">
      <t>オコナ</t>
    </rPh>
    <phoneticPr fontId="1"/>
  </si>
  <si>
    <t>・最大で2年先までの祝日情報を自動取得します。</t>
    <rPh sb="1" eb="3">
      <t>サイダイ</t>
    </rPh>
    <rPh sb="5" eb="7">
      <t>ネンサキ</t>
    </rPh>
    <rPh sb="10" eb="12">
      <t>シュクジツ</t>
    </rPh>
    <rPh sb="12" eb="14">
      <t>ジョウホウ</t>
    </rPh>
    <rPh sb="15" eb="17">
      <t>ジドウ</t>
    </rPh>
    <rPh sb="17" eb="19">
      <t>シュトク</t>
    </rPh>
    <phoneticPr fontId="1"/>
  </si>
  <si>
    <t>・別料金にてカスタマイズを承ります。</t>
    <rPh sb="1" eb="2">
      <t>ベツ</t>
    </rPh>
    <rPh sb="2" eb="4">
      <t>リョウキン</t>
    </rPh>
    <rPh sb="13" eb="14">
      <t>ウケタマワ</t>
    </rPh>
    <phoneticPr fontId="1"/>
  </si>
  <si>
    <t>　</t>
    <phoneticPr fontId="1"/>
  </si>
  <si>
    <t>20日:春分の日</t>
  </si>
  <si>
    <t>29日:昭和の日</t>
  </si>
  <si>
    <t>3日:憲法記念日 / 4日:みどりの日 / 5日:こどもの日 / 6日:休日</t>
    <phoneticPr fontId="1"/>
  </si>
  <si>
    <t>起算日</t>
    <phoneticPr fontId="1"/>
  </si>
  <si>
    <t>1日の所定労働時間</t>
    <phoneticPr fontId="1"/>
  </si>
  <si>
    <t>週の開始曜日</t>
    <phoneticPr fontId="1"/>
  </si>
  <si>
    <t>日曜日</t>
    <phoneticPr fontId="1"/>
  </si>
  <si>
    <t>祝日は原則として利用日の翌年末分までを自動表示し、毎年2月頃に新たに翌年末分までの自動表示が可能になります。</t>
    <phoneticPr fontId="1"/>
  </si>
  <si>
    <t>（例）令和7年1月1日～12月31日の祝日は、令和6年2月頃から自動表示が可能になります。</t>
    <phoneticPr fontId="1"/>
  </si>
  <si>
    <t>日</t>
    <phoneticPr fontId="1"/>
  </si>
  <si>
    <t>月</t>
    <phoneticPr fontId="1"/>
  </si>
  <si>
    <t>火</t>
    <phoneticPr fontId="1"/>
  </si>
  <si>
    <t>水</t>
    <phoneticPr fontId="1"/>
  </si>
  <si>
    <t>木</t>
    <phoneticPr fontId="1"/>
  </si>
  <si>
    <t>金</t>
    <phoneticPr fontId="1"/>
  </si>
  <si>
    <t>土</t>
    <phoneticPr fontId="1"/>
  </si>
  <si>
    <t>休日設定</t>
    <phoneticPr fontId="1"/>
  </si>
  <si>
    <t>第1週</t>
    <phoneticPr fontId="1"/>
  </si>
  <si>
    <t>第2週</t>
    <phoneticPr fontId="1"/>
  </si>
  <si>
    <t>第3週</t>
    <phoneticPr fontId="1"/>
  </si>
  <si>
    <t>第4週</t>
    <phoneticPr fontId="1"/>
  </si>
  <si>
    <t>第5週</t>
    <phoneticPr fontId="1"/>
  </si>
  <si>
    <t>祝日</t>
    <phoneticPr fontId="1"/>
  </si>
  <si>
    <t>要件チェックを更新します。カレンダーに労働時間や休日を手入力した後に行ってください。</t>
  </si>
  <si>
    <t>設定した内容でカレンダーを作成します。（現在のカレンダーはリセットされます。）</t>
  </si>
  <si>
    <t>作成したカレンダーを印刷・保存用に別シートに出力します。レイアウトなどを変更したい場合は出力後のシートを編集・加工してください。</t>
  </si>
  <si>
    <t>1日:元日 / 13日:成人の日</t>
    <phoneticPr fontId="1"/>
  </si>
  <si>
    <t>11日:建国記念の日 / 23日:天皇誕生日 / 24日:休日</t>
    <phoneticPr fontId="1"/>
  </si>
  <si>
    <t>15日:海の日</t>
  </si>
  <si>
    <t>11日:山の日 / 12日:休日</t>
    <phoneticPr fontId="1"/>
  </si>
  <si>
    <t>16日:敬老の日 / 22日:秋分の日 / 23日:休日</t>
    <phoneticPr fontId="1"/>
  </si>
  <si>
    <t>14日:スポーツの日</t>
  </si>
  <si>
    <t>3日:文化の日 / 4日:休日 / 23日:勤労感謝の日</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</si>
</sst>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m/d"/>
    <numFmt numFmtId="177" formatCode="yyyy&quot;年&quot;m&quot;月&quot;d&quot;日&quot;;@"/>
    <numFmt numFmtId="178" formatCode="[h]:mm;@"/>
    <numFmt numFmtId="179" formatCode="[$-411]ggge&quot;年&quot;m&quot;月&quot;d&quot;日&quot;\(aaa\)"/>
    <numFmt numFmtId="180" formatCode="[h]:mm"/>
    <numFmt numFmtId="181" formatCode="0&quot;月&quot;"/>
    <numFmt numFmtId="182" formatCode="0&quot;日&quot;"/>
    <numFmt numFmtId="183" formatCode="#,##0.000000000;[Red]\-#,##0.000000000"/>
    <numFmt numFmtId="184" formatCode="0&quot;週&quot;"/>
  </numFmts>
  <fonts count="12">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0"/>
      <color theme="1"/>
      <name val="游ゴシック"/>
      <family val="2"/>
      <charset val="128"/>
      <scheme val="minor"/>
    </font>
    <font>
      <sz val="10"/>
      <color theme="1"/>
      <name val="游ゴシック"/>
      <family val="3"/>
      <charset val="128"/>
      <scheme val="minor"/>
    </font>
    <font>
      <sz val="10"/>
      <color theme="4"/>
      <name val="游ゴシック"/>
      <family val="3"/>
      <charset val="128"/>
      <scheme val="minor"/>
    </font>
    <font>
      <sz val="10"/>
      <color rgb="FFFF0000"/>
      <name val="游ゴシック"/>
      <family val="3"/>
      <charset val="128"/>
      <scheme val="minor"/>
    </font>
    <font>
      <sz val="10"/>
      <name val="游ゴシック"/>
      <family val="3"/>
      <charset val="128"/>
      <scheme val="minor"/>
    </font>
    <font>
      <sz val="18"/>
      <color theme="1"/>
      <name val="游ゴシック"/>
      <family val="3"/>
      <charset val="128"/>
      <scheme val="minor"/>
    </font>
    <font>
      <sz val="9"/>
      <color indexed="81"/>
      <name val="MS P ゴシック"/>
      <family val="3"/>
      <charset val="128"/>
    </font>
    <font>
      <u/>
      <sz val="11"/>
      <color theme="10"/>
      <name val="游ゴシック"/>
      <family val="2"/>
      <charset val="128"/>
      <scheme val="minor"/>
    </font>
    <font>
      <b/>
      <sz val="11"/>
      <color theme="0"/>
      <name val="游ゴシック"/>
      <family val="3"/>
      <charset val="128"/>
      <scheme val="minor"/>
    </font>
  </fonts>
  <fills count="8">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5117038483843"/>
        <bgColor indexed="64"/>
      </patternFill>
    </fill>
    <fill>
      <patternFill patternType="solid">
        <fgColor theme="5" tint="0.79995117038483843"/>
        <bgColor indexed="64"/>
      </patternFill>
    </fill>
    <fill>
      <patternFill patternType="solid">
        <fgColor theme="4" tint="0.39997558519241921"/>
        <bgColor indexed="64"/>
      </patternFill>
    </fill>
    <fill>
      <patternFill patternType="solid">
        <fgColor theme="4"/>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hair">
        <color indexed="64"/>
      </top>
      <bottom/>
      <diagonal/>
    </border>
    <border>
      <left/>
      <right/>
      <top/>
      <bottom style="thick">
        <color indexed="64"/>
      </bottom>
      <diagonal/>
    </border>
    <border>
      <left style="thin">
        <color indexed="64"/>
      </left>
      <right style="thin">
        <color indexed="64"/>
      </right>
      <top style="thin">
        <color indexed="64"/>
      </top>
      <bottom style="thick">
        <color indexed="64"/>
      </bottom>
      <diagonal/>
    </border>
    <border diagonalUp="1">
      <left style="thin">
        <color indexed="64"/>
      </left>
      <right style="thin">
        <color indexed="64"/>
      </right>
      <top style="thin">
        <color indexed="64"/>
      </top>
      <bottom style="thick">
        <color indexed="64"/>
      </bottom>
      <diagonal style="thin">
        <color indexed="64"/>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s>
  <cellStyleXfs count="3">
    <xf numFmtId="0" fontId="0" fillId="0" borderId="0">
      <alignment vertical="center"/>
    </xf>
    <xf numFmtId="38" fontId="2"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4" fillId="0" borderId="0" xfId="0" applyFont="1">
      <alignment vertical="center"/>
    </xf>
    <xf numFmtId="0" fontId="4" fillId="0" borderId="1" xfId="0" applyFont="1" applyBorder="1" applyAlignment="1">
      <alignment horizontal="center" vertical="center"/>
    </xf>
    <xf numFmtId="176" fontId="4" fillId="3" borderId="2"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0" fontId="4" fillId="2" borderId="1" xfId="0" applyFont="1" applyFill="1" applyBorder="1" applyAlignment="1">
      <alignment horizontal="center" vertical="center"/>
    </xf>
    <xf numFmtId="0" fontId="4" fillId="0" borderId="0" xfId="0" applyFont="1" applyAlignment="1">
      <alignment horizontal="center" vertical="center"/>
    </xf>
    <xf numFmtId="176" fontId="5" fillId="4" borderId="2" xfId="0" applyNumberFormat="1" applyFont="1" applyFill="1" applyBorder="1" applyAlignment="1">
      <alignment horizontal="center" vertical="center"/>
    </xf>
    <xf numFmtId="176" fontId="6" fillId="5" borderId="2" xfId="0" applyNumberFormat="1" applyFont="1" applyFill="1" applyBorder="1" applyAlignment="1">
      <alignment horizontal="center" vertical="center"/>
    </xf>
    <xf numFmtId="14" fontId="4" fillId="0" borderId="0" xfId="0" applyNumberFormat="1" applyFont="1">
      <alignment vertical="center"/>
    </xf>
    <xf numFmtId="176" fontId="7" fillId="3" borderId="2" xfId="0" applyNumberFormat="1" applyFont="1" applyFill="1" applyBorder="1" applyAlignment="1">
      <alignment horizontal="center" vertical="center"/>
    </xf>
    <xf numFmtId="180" fontId="4" fillId="0" borderId="3" xfId="0" applyNumberFormat="1" applyFont="1" applyBorder="1" applyAlignment="1">
      <alignment horizontal="center" vertical="center"/>
    </xf>
    <xf numFmtId="180" fontId="4" fillId="0" borderId="1" xfId="0" applyNumberFormat="1" applyFont="1" applyBorder="1">
      <alignment vertical="center"/>
    </xf>
    <xf numFmtId="181" fontId="4" fillId="0" borderId="2" xfId="0" applyNumberFormat="1" applyFont="1" applyBorder="1" applyAlignment="1">
      <alignment horizontal="center" vertical="center"/>
    </xf>
    <xf numFmtId="180" fontId="4" fillId="0" borderId="2" xfId="0" applyNumberFormat="1" applyFont="1" applyBorder="1">
      <alignment vertical="center"/>
    </xf>
    <xf numFmtId="181" fontId="4" fillId="0" borderId="4" xfId="0" applyNumberFormat="1" applyFont="1" applyBorder="1" applyAlignment="1">
      <alignment horizontal="center" vertical="center"/>
    </xf>
    <xf numFmtId="180" fontId="4" fillId="0" borderId="4" xfId="0" applyNumberFormat="1" applyFont="1" applyBorder="1">
      <alignment vertical="center"/>
    </xf>
    <xf numFmtId="181" fontId="4" fillId="0" borderId="6" xfId="0" applyNumberFormat="1" applyFont="1" applyBorder="1" applyAlignment="1">
      <alignment horizontal="center" vertical="center"/>
    </xf>
    <xf numFmtId="180" fontId="4" fillId="0" borderId="6" xfId="0" applyNumberFormat="1" applyFont="1" applyBorder="1">
      <alignment vertical="center"/>
    </xf>
    <xf numFmtId="0" fontId="4" fillId="0" borderId="5" xfId="0" applyFont="1" applyBorder="1" applyAlignment="1">
      <alignment horizontal="center" vertical="center"/>
    </xf>
    <xf numFmtId="180" fontId="4" fillId="0" borderId="5" xfId="0" applyNumberFormat="1" applyFont="1" applyBorder="1">
      <alignment vertical="center"/>
    </xf>
    <xf numFmtId="182" fontId="4" fillId="0" borderId="2" xfId="1" applyNumberFormat="1" applyFont="1" applyBorder="1">
      <alignment vertical="center"/>
    </xf>
    <xf numFmtId="182" fontId="4" fillId="0" borderId="2" xfId="0" applyNumberFormat="1" applyFont="1" applyBorder="1">
      <alignment vertical="center"/>
    </xf>
    <xf numFmtId="182" fontId="4" fillId="0" borderId="4" xfId="1" applyNumberFormat="1" applyFont="1" applyBorder="1">
      <alignment vertical="center"/>
    </xf>
    <xf numFmtId="182" fontId="4" fillId="0" borderId="4" xfId="0" applyNumberFormat="1" applyFont="1" applyBorder="1">
      <alignment vertical="center"/>
    </xf>
    <xf numFmtId="182" fontId="4" fillId="0" borderId="6" xfId="1" applyNumberFormat="1" applyFont="1" applyBorder="1">
      <alignment vertical="center"/>
    </xf>
    <xf numFmtId="182" fontId="4" fillId="0" borderId="6" xfId="0" applyNumberFormat="1" applyFont="1" applyBorder="1">
      <alignment vertical="center"/>
    </xf>
    <xf numFmtId="182" fontId="4" fillId="0" borderId="5" xfId="0" applyNumberFormat="1" applyFont="1" applyBorder="1">
      <alignment vertical="center"/>
    </xf>
    <xf numFmtId="0" fontId="4" fillId="0" borderId="1" xfId="0" applyFont="1" applyBorder="1" applyAlignment="1">
      <alignment horizontal="centerContinuous" vertical="center"/>
    </xf>
    <xf numFmtId="180" fontId="4" fillId="0" borderId="1" xfId="0" applyNumberFormat="1" applyFont="1" applyBorder="1" applyAlignment="1">
      <alignment horizontal="center" vertical="center"/>
    </xf>
    <xf numFmtId="0" fontId="3" fillId="6" borderId="1" xfId="0" applyFont="1" applyFill="1" applyBorder="1" applyAlignment="1">
      <alignment horizontal="centerContinuous" vertical="center"/>
    </xf>
    <xf numFmtId="183" fontId="4" fillId="0" borderId="1" xfId="1" applyNumberFormat="1" applyFont="1" applyBorder="1" applyAlignment="1">
      <alignment horizontal="center" vertical="center"/>
    </xf>
    <xf numFmtId="46" fontId="4" fillId="0" borderId="1" xfId="0" applyNumberFormat="1" applyFont="1" applyBorder="1" applyAlignment="1">
      <alignment horizontal="center" vertical="center"/>
    </xf>
    <xf numFmtId="0" fontId="4" fillId="0" borderId="8" xfId="0" applyFont="1" applyBorder="1" applyAlignment="1">
      <alignment horizontal="center" vertical="center"/>
    </xf>
    <xf numFmtId="0" fontId="4" fillId="0" borderId="9" xfId="0" applyFont="1" applyBorder="1">
      <alignment vertical="center"/>
    </xf>
    <xf numFmtId="0" fontId="4" fillId="0" borderId="0" xfId="0" applyFont="1" applyAlignment="1">
      <alignment vertical="center" wrapText="1"/>
    </xf>
    <xf numFmtId="0" fontId="4" fillId="3" borderId="0" xfId="0" applyFont="1" applyFill="1">
      <alignment vertical="center"/>
    </xf>
    <xf numFmtId="0" fontId="4" fillId="3" borderId="7" xfId="0" applyFont="1" applyFill="1" applyBorder="1" applyAlignment="1">
      <alignment vertical="center" wrapText="1"/>
    </xf>
    <xf numFmtId="0" fontId="4" fillId="3" borderId="7" xfId="0" applyFont="1" applyFill="1" applyBorder="1">
      <alignment vertical="center"/>
    </xf>
    <xf numFmtId="0" fontId="4" fillId="3" borderId="0" xfId="0" applyFont="1" applyFill="1" applyAlignment="1">
      <alignment horizontal="center" vertical="center"/>
    </xf>
    <xf numFmtId="0" fontId="4" fillId="3" borderId="16" xfId="0" applyFont="1" applyFill="1" applyBorder="1">
      <alignment vertical="center"/>
    </xf>
    <xf numFmtId="0" fontId="4" fillId="3" borderId="7" xfId="0" applyFont="1" applyFill="1" applyBorder="1" applyAlignment="1">
      <alignment horizontal="center" vertical="center"/>
    </xf>
    <xf numFmtId="0" fontId="0" fillId="0" borderId="0" xfId="0" applyAlignment="1">
      <alignment horizontal="left" vertical="center"/>
    </xf>
    <xf numFmtId="0" fontId="11" fillId="7" borderId="0" xfId="0" applyFont="1" applyFill="1">
      <alignment vertical="center"/>
    </xf>
    <xf numFmtId="0" fontId="0" fillId="7" borderId="0" xfId="0" applyFill="1">
      <alignment vertical="center"/>
    </xf>
    <xf numFmtId="0" fontId="0" fillId="0" borderId="0" xfId="0" applyAlignment="1">
      <alignment horizontal="left" vertical="center" indent="4"/>
    </xf>
    <xf numFmtId="0" fontId="0" fillId="0" borderId="0" xfId="0" applyAlignment="1">
      <alignment horizontal="center" vertical="center"/>
    </xf>
    <xf numFmtId="0" fontId="10" fillId="0" borderId="0" xfId="2">
      <alignment vertical="center"/>
    </xf>
    <xf numFmtId="0" fontId="0" fillId="0" borderId="0" xfId="0" applyAlignment="1">
      <alignment vertical="center" wrapText="1"/>
    </xf>
    <xf numFmtId="180" fontId="4" fillId="0" borderId="11" xfId="0" applyNumberFormat="1" applyFont="1" applyBorder="1" applyAlignment="1">
      <alignment horizontal="left" vertical="top" wrapText="1"/>
    </xf>
    <xf numFmtId="180" fontId="4" fillId="0" borderId="0" xfId="0" applyNumberFormat="1" applyFont="1" applyAlignment="1">
      <alignment horizontal="left" vertical="top" wrapText="1"/>
    </xf>
    <xf numFmtId="180" fontId="4" fillId="0" borderId="14" xfId="0" applyNumberFormat="1" applyFont="1" applyBorder="1" applyAlignment="1">
      <alignment horizontal="left" vertical="top" wrapText="1"/>
    </xf>
    <xf numFmtId="0" fontId="4" fillId="0" borderId="1" xfId="0" applyFont="1" applyBorder="1" applyAlignment="1">
      <alignment horizontal="center" vertical="center"/>
    </xf>
    <xf numFmtId="178" fontId="4" fillId="0" borderId="1" xfId="0" applyNumberFormat="1" applyFont="1" applyBorder="1" applyAlignment="1">
      <alignment horizontal="center" vertical="center"/>
    </xf>
    <xf numFmtId="179" fontId="4" fillId="0" borderId="1" xfId="0" applyNumberFormat="1" applyFont="1" applyBorder="1" applyAlignment="1">
      <alignment horizontal="center" vertical="center"/>
    </xf>
    <xf numFmtId="182" fontId="4" fillId="0" borderId="1" xfId="1" applyNumberFormat="1" applyFont="1" applyBorder="1" applyAlignment="1">
      <alignment horizontal="center" vertical="center"/>
    </xf>
    <xf numFmtId="0" fontId="8" fillId="0" borderId="1" xfId="0" applyFont="1" applyBorder="1" applyAlignment="1">
      <alignment horizontal="center" vertical="center"/>
    </xf>
    <xf numFmtId="0" fontId="4" fillId="0" borderId="10" xfId="0" applyFont="1" applyBorder="1" applyAlignment="1">
      <alignment horizontal="left" vertical="center" wrapText="1" indent="1"/>
    </xf>
    <xf numFmtId="0" fontId="4" fillId="0" borderId="11" xfId="0" applyFont="1" applyBorder="1" applyAlignment="1">
      <alignment horizontal="left" vertical="center" indent="1"/>
    </xf>
    <xf numFmtId="0" fontId="4" fillId="0" borderId="12" xfId="0" applyFont="1" applyBorder="1" applyAlignment="1">
      <alignment horizontal="left" vertical="center" indent="1"/>
    </xf>
    <xf numFmtId="0" fontId="4" fillId="0" borderId="13" xfId="0" applyFont="1" applyBorder="1" applyAlignment="1">
      <alignment horizontal="left" vertical="center" indent="1"/>
    </xf>
    <xf numFmtId="0" fontId="4" fillId="0" borderId="14" xfId="0" applyFont="1" applyBorder="1" applyAlignment="1">
      <alignment horizontal="left" vertical="center" indent="1"/>
    </xf>
    <xf numFmtId="0" fontId="4" fillId="0" borderId="15" xfId="0" applyFont="1" applyBorder="1" applyAlignment="1">
      <alignment horizontal="left" vertical="center" indent="1"/>
    </xf>
    <xf numFmtId="0" fontId="4" fillId="3" borderId="11" xfId="0" applyFont="1" applyFill="1" applyBorder="1" applyAlignment="1">
      <alignment horizontal="left" vertical="center" wrapText="1"/>
    </xf>
    <xf numFmtId="0" fontId="4" fillId="3" borderId="0" xfId="0" applyFont="1" applyFill="1" applyAlignment="1">
      <alignment horizontal="left" vertical="center" wrapText="1"/>
    </xf>
    <xf numFmtId="0" fontId="4" fillId="0" borderId="1" xfId="0" applyFont="1" applyBorder="1" applyAlignment="1">
      <alignment horizontal="left" vertical="center" wrapText="1"/>
    </xf>
    <xf numFmtId="0" fontId="4" fillId="0" borderId="1" xfId="0" applyFont="1" applyBorder="1" applyAlignment="1">
      <alignment horizontal="center" vertical="center" wrapText="1"/>
    </xf>
    <xf numFmtId="182" fontId="4" fillId="0" borderId="1" xfId="0" applyNumberFormat="1" applyFont="1" applyBorder="1" applyAlignment="1">
      <alignment horizontal="center" vertical="center"/>
    </xf>
    <xf numFmtId="184" fontId="4" fillId="0" borderId="1" xfId="0" applyNumberFormat="1" applyFont="1" applyBorder="1" applyAlignment="1">
      <alignment horizontal="center" vertical="center"/>
    </xf>
  </cellXfs>
  <cellStyles count="3">
    <cellStyle name="ハイパーリンク" xfId="2" builtinId="8"/>
    <cellStyle name="桁区切り" xfId="1" builtinId="6"/>
    <cellStyle name="標準" xfId="0" builtinId="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127000</xdr:colOff>
          <xdr:row>1</xdr:row>
          <xdr:rowOff>50800</xdr:rowOff>
        </xdr:from>
        <xdr:to>
          <xdr:col>20</xdr:col>
          <xdr:colOff>349250</xdr:colOff>
          <xdr:row>2</xdr:row>
          <xdr:rowOff>146050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3</xdr:row>
          <xdr:rowOff>69850</xdr:rowOff>
        </xdr:from>
        <xdr:to>
          <xdr:col>20</xdr:col>
          <xdr:colOff>349250</xdr:colOff>
          <xdr:row>4</xdr:row>
          <xdr:rowOff>165100</xdr:rowOff>
        </xdr:to>
        <xdr:sp macro="" textlink="">
          <xdr:nvSpPr>
            <xdr:cNvPr id="2153" name="CommandButton2" hidden="1">
              <a:extLst>
                <a:ext uri="{63B3BB69-23CF-44E3-9099-C40C66FF867C}">
                  <a14:compatExt spid="_x0000_s2153"/>
                </a:ext>
                <a:ext uri="{FF2B5EF4-FFF2-40B4-BE49-F238E27FC236}">
                  <a16:creationId xmlns:a16="http://schemas.microsoft.com/office/drawing/2014/main" id="{00000000-0008-0000-0000-00006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5</xdr:row>
          <xdr:rowOff>95250</xdr:rowOff>
        </xdr:from>
        <xdr:to>
          <xdr:col>20</xdr:col>
          <xdr:colOff>349250</xdr:colOff>
          <xdr:row>6</xdr:row>
          <xdr:rowOff>165100</xdr:rowOff>
        </xdr:to>
        <xdr:sp macro="" textlink="">
          <xdr:nvSpPr>
            <xdr:cNvPr id="2155" name="CommandButton3"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mail@shlc.jp"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93B0-BA58-48F5-95AC-04CCA305F137}">
  <sheetPr codeName="Sheet3">
    <pageSetUpPr fitToPage="1"/>
  </sheetPr>
  <dimension ref="A1:AP69"/>
  <sheetViews>
    <sheetView tabSelected="1" zoomScaleNormal="100" workbookViewId="0">
      <pane ySplit="8" topLeftCell="A9" activePane="bottomLeft" state="frozen"/>
      <selection pane="bottomLeft" activeCell="D1" sqref="D1:H1"/>
    </sheetView>
  </sheetViews>
  <sheetFormatPr defaultColWidth="5.83203125" defaultRowHeight="16.5"/>
  <cols>
    <col min="1" max="1" width="5.75" style="7" customWidth="1"/>
    <col min="2" max="2" width="6.33203125" style="7" bestFit="1" customWidth="1"/>
    <col min="3" max="7" width="5.75" style="7" bestFit="1" customWidth="1"/>
    <col min="8" max="8" width="5.5" style="7" bestFit="1" customWidth="1"/>
    <col min="9" max="9" width="1.25" style="2" customWidth="1"/>
    <col min="10" max="10" width="5.75" style="7" customWidth="1"/>
    <col min="11" max="12" width="5.75" style="7" bestFit="1" customWidth="1"/>
    <col min="13" max="13" width="6.33203125" style="7" bestFit="1" customWidth="1"/>
    <col min="14" max="16" width="5.75" style="7" bestFit="1" customWidth="1"/>
    <col min="17" max="17" width="5.5" style="7" bestFit="1" customWidth="1"/>
    <col min="18" max="18" width="1.25" style="2" customWidth="1"/>
    <col min="19" max="19" width="5.75" style="7" customWidth="1"/>
    <col min="20" max="25" width="5.75" style="7" bestFit="1" customWidth="1"/>
    <col min="26" max="26" width="5.5" style="7" bestFit="1" customWidth="1"/>
    <col min="27" max="27" width="5.83203125" style="2"/>
    <col min="28" max="32" width="11.75" style="2" customWidth="1"/>
    <col min="33" max="33" width="9.5" style="2" bestFit="1" customWidth="1"/>
    <col min="34" max="16384" width="5.83203125" style="2"/>
  </cols>
  <sheetData>
    <row r="1" spans="1:42">
      <c r="A1" s="31" t="s">
        <v>79</v>
      </c>
      <c r="B1" s="31"/>
      <c r="C1" s="31"/>
      <c r="D1" s="55">
        <v>45383</v>
      </c>
      <c r="E1" s="55"/>
      <c r="F1" s="55"/>
      <c r="G1" s="55"/>
      <c r="H1" s="55"/>
      <c r="I1" s="37"/>
      <c r="J1" s="31" t="s">
        <v>92</v>
      </c>
      <c r="K1" s="31"/>
      <c r="L1" s="31"/>
      <c r="M1" s="31"/>
      <c r="N1" s="31"/>
      <c r="O1" s="31"/>
      <c r="P1" s="31"/>
      <c r="Q1" s="31"/>
      <c r="R1" s="37"/>
      <c r="S1" s="40"/>
      <c r="T1" s="40"/>
      <c r="U1" s="40"/>
      <c r="V1" s="40"/>
      <c r="W1" s="40"/>
      <c r="X1" s="40"/>
      <c r="Y1" s="40"/>
      <c r="Z1" s="40"/>
      <c r="AA1" s="37"/>
      <c r="AB1" s="37"/>
      <c r="AC1" s="37"/>
      <c r="AD1" s="37"/>
      <c r="AE1" s="37"/>
      <c r="AF1" s="37"/>
    </row>
    <row r="2" spans="1:42">
      <c r="A2" s="31" t="s">
        <v>80</v>
      </c>
      <c r="B2" s="31"/>
      <c r="C2" s="31"/>
      <c r="D2" s="54">
        <v>0.3125</v>
      </c>
      <c r="E2" s="54"/>
      <c r="F2" s="54"/>
      <c r="G2" s="54"/>
      <c r="H2" s="54"/>
      <c r="I2" s="37"/>
      <c r="J2" s="5"/>
      <c r="K2" s="6" t="s">
        <v>85</v>
      </c>
      <c r="L2" s="6" t="s">
        <v>86</v>
      </c>
      <c r="M2" s="6" t="s">
        <v>87</v>
      </c>
      <c r="N2" s="6" t="s">
        <v>88</v>
      </c>
      <c r="O2" s="6" t="s">
        <v>89</v>
      </c>
      <c r="P2" s="6" t="s">
        <v>90</v>
      </c>
      <c r="Q2" s="6" t="s">
        <v>91</v>
      </c>
      <c r="R2" s="37"/>
      <c r="S2" s="53"/>
      <c r="T2" s="53"/>
      <c r="U2" s="53"/>
      <c r="V2" s="58" t="s">
        <v>100</v>
      </c>
      <c r="W2" s="59"/>
      <c r="X2" s="59"/>
      <c r="Y2" s="59"/>
      <c r="Z2" s="59"/>
      <c r="AA2" s="59"/>
      <c r="AB2" s="59"/>
      <c r="AC2" s="60"/>
      <c r="AD2" s="41"/>
      <c r="AE2" s="37"/>
      <c r="AF2" s="37"/>
    </row>
    <row r="3" spans="1:42">
      <c r="A3" s="31" t="s">
        <v>81</v>
      </c>
      <c r="B3" s="31"/>
      <c r="C3" s="31"/>
      <c r="D3" s="53" t="s">
        <v>82</v>
      </c>
      <c r="E3" s="53"/>
      <c r="F3" s="53"/>
      <c r="G3" s="53"/>
      <c r="H3" s="53"/>
      <c r="I3" s="37"/>
      <c r="J3" s="3" t="s">
        <v>93</v>
      </c>
      <c r="K3" s="3" t="s">
        <v>29</v>
      </c>
      <c r="L3" s="3" t="s">
        <v>75</v>
      </c>
      <c r="M3" s="3" t="s">
        <v>75</v>
      </c>
      <c r="N3" s="3" t="s">
        <v>75</v>
      </c>
      <c r="O3" s="3" t="s">
        <v>75</v>
      </c>
      <c r="P3" s="3" t="s">
        <v>75</v>
      </c>
      <c r="Q3" s="3" t="s">
        <v>75</v>
      </c>
      <c r="R3" s="37"/>
      <c r="S3" s="53"/>
      <c r="T3" s="53"/>
      <c r="U3" s="53"/>
      <c r="V3" s="61"/>
      <c r="W3" s="62"/>
      <c r="X3" s="62"/>
      <c r="Y3" s="62"/>
      <c r="Z3" s="62"/>
      <c r="AA3" s="62"/>
      <c r="AB3" s="62"/>
      <c r="AC3" s="63"/>
      <c r="AD3" s="41"/>
      <c r="AE3" s="37"/>
      <c r="AF3" s="37"/>
    </row>
    <row r="4" spans="1:42" ht="16.5" customHeight="1">
      <c r="A4" s="64" t="s">
        <v>83</v>
      </c>
      <c r="B4" s="64"/>
      <c r="C4" s="64"/>
      <c r="D4" s="64"/>
      <c r="E4" s="64"/>
      <c r="F4" s="64"/>
      <c r="G4" s="64"/>
      <c r="H4" s="64"/>
      <c r="I4" s="37"/>
      <c r="J4" s="3" t="s">
        <v>94</v>
      </c>
      <c r="K4" s="3" t="s">
        <v>29</v>
      </c>
      <c r="L4" s="3" t="s">
        <v>75</v>
      </c>
      <c r="M4" s="3" t="s">
        <v>75</v>
      </c>
      <c r="N4" s="3" t="s">
        <v>75</v>
      </c>
      <c r="O4" s="3" t="s">
        <v>75</v>
      </c>
      <c r="P4" s="3" t="s">
        <v>75</v>
      </c>
      <c r="Q4" s="3" t="s">
        <v>29</v>
      </c>
      <c r="R4" s="37"/>
      <c r="S4" s="53"/>
      <c r="T4" s="53"/>
      <c r="U4" s="53"/>
      <c r="V4" s="58" t="s">
        <v>99</v>
      </c>
      <c r="W4" s="59"/>
      <c r="X4" s="59"/>
      <c r="Y4" s="59"/>
      <c r="Z4" s="59"/>
      <c r="AA4" s="59"/>
      <c r="AB4" s="59"/>
      <c r="AC4" s="60"/>
      <c r="AD4" s="41"/>
      <c r="AE4" s="37"/>
      <c r="AF4" s="37"/>
      <c r="AJ4" s="36"/>
      <c r="AK4" s="36"/>
      <c r="AL4" s="36"/>
      <c r="AM4" s="36"/>
      <c r="AN4" s="36"/>
      <c r="AO4" s="36"/>
      <c r="AP4" s="36"/>
    </row>
    <row r="5" spans="1:42" ht="18.75" customHeight="1">
      <c r="A5" s="65"/>
      <c r="B5" s="65"/>
      <c r="C5" s="65"/>
      <c r="D5" s="65"/>
      <c r="E5" s="65"/>
      <c r="F5" s="65"/>
      <c r="G5" s="65"/>
      <c r="H5" s="65"/>
      <c r="I5" s="37"/>
      <c r="J5" s="3" t="s">
        <v>95</v>
      </c>
      <c r="K5" s="3" t="s">
        <v>29</v>
      </c>
      <c r="L5" s="3" t="s">
        <v>75</v>
      </c>
      <c r="M5" s="3" t="s">
        <v>75</v>
      </c>
      <c r="N5" s="3" t="s">
        <v>75</v>
      </c>
      <c r="O5" s="3" t="s">
        <v>75</v>
      </c>
      <c r="P5" s="3" t="s">
        <v>75</v>
      </c>
      <c r="Q5" s="3" t="s">
        <v>75</v>
      </c>
      <c r="R5" s="37"/>
      <c r="S5" s="53"/>
      <c r="T5" s="53"/>
      <c r="U5" s="53"/>
      <c r="V5" s="61"/>
      <c r="W5" s="62"/>
      <c r="X5" s="62"/>
      <c r="Y5" s="62"/>
      <c r="Z5" s="62"/>
      <c r="AA5" s="62"/>
      <c r="AB5" s="62"/>
      <c r="AC5" s="63"/>
      <c r="AD5" s="41"/>
      <c r="AE5" s="37"/>
      <c r="AF5" s="37"/>
      <c r="AI5" s="36"/>
      <c r="AJ5" s="36"/>
      <c r="AK5" s="36"/>
      <c r="AL5" s="36"/>
      <c r="AM5" s="36"/>
      <c r="AN5" s="36"/>
      <c r="AO5" s="36"/>
      <c r="AP5" s="36"/>
    </row>
    <row r="6" spans="1:42" ht="18.75" customHeight="1">
      <c r="A6" s="65" t="s">
        <v>84</v>
      </c>
      <c r="B6" s="65"/>
      <c r="C6" s="65"/>
      <c r="D6" s="65"/>
      <c r="E6" s="65"/>
      <c r="F6" s="65"/>
      <c r="G6" s="65"/>
      <c r="H6" s="65"/>
      <c r="I6" s="37"/>
      <c r="J6" s="3" t="s">
        <v>96</v>
      </c>
      <c r="K6" s="3" t="s">
        <v>29</v>
      </c>
      <c r="L6" s="3" t="s">
        <v>75</v>
      </c>
      <c r="M6" s="3" t="s">
        <v>75</v>
      </c>
      <c r="N6" s="3" t="s">
        <v>75</v>
      </c>
      <c r="O6" s="3" t="s">
        <v>75</v>
      </c>
      <c r="P6" s="3" t="s">
        <v>75</v>
      </c>
      <c r="Q6" s="3" t="s">
        <v>29</v>
      </c>
      <c r="R6" s="37"/>
      <c r="S6" s="53"/>
      <c r="T6" s="53"/>
      <c r="U6" s="53"/>
      <c r="V6" s="58" t="s">
        <v>101</v>
      </c>
      <c r="W6" s="59"/>
      <c r="X6" s="59"/>
      <c r="Y6" s="59"/>
      <c r="Z6" s="59"/>
      <c r="AA6" s="59"/>
      <c r="AB6" s="59"/>
      <c r="AC6" s="60"/>
      <c r="AD6" s="41"/>
      <c r="AE6" s="37"/>
      <c r="AF6" s="37"/>
      <c r="AI6" s="36"/>
      <c r="AJ6" s="36"/>
      <c r="AK6" s="36"/>
      <c r="AL6" s="36"/>
      <c r="AM6" s="36"/>
      <c r="AN6" s="36"/>
      <c r="AO6" s="36"/>
      <c r="AP6" s="36"/>
    </row>
    <row r="7" spans="1:42" ht="18.75" customHeight="1">
      <c r="A7" s="65"/>
      <c r="B7" s="65"/>
      <c r="C7" s="65"/>
      <c r="D7" s="65"/>
      <c r="E7" s="65"/>
      <c r="F7" s="65"/>
      <c r="G7" s="65"/>
      <c r="H7" s="65"/>
      <c r="I7" s="37"/>
      <c r="J7" s="3" t="s">
        <v>97</v>
      </c>
      <c r="K7" s="3" t="s">
        <v>29</v>
      </c>
      <c r="L7" s="3" t="s">
        <v>75</v>
      </c>
      <c r="M7" s="3" t="s">
        <v>75</v>
      </c>
      <c r="N7" s="3" t="s">
        <v>75</v>
      </c>
      <c r="O7" s="3" t="s">
        <v>75</v>
      </c>
      <c r="P7" s="3" t="s">
        <v>75</v>
      </c>
      <c r="Q7" s="3" t="s">
        <v>75</v>
      </c>
      <c r="R7" s="37"/>
      <c r="S7" s="53"/>
      <c r="T7" s="53"/>
      <c r="U7" s="53"/>
      <c r="V7" s="61"/>
      <c r="W7" s="62"/>
      <c r="X7" s="62"/>
      <c r="Y7" s="62"/>
      <c r="Z7" s="62"/>
      <c r="AA7" s="62"/>
      <c r="AB7" s="62"/>
      <c r="AC7" s="63"/>
      <c r="AD7" s="41"/>
      <c r="AE7" s="37"/>
      <c r="AF7" s="37"/>
    </row>
    <row r="8" spans="1:42" ht="19.5" customHeight="1" thickBot="1">
      <c r="A8" s="38"/>
      <c r="B8" s="38"/>
      <c r="C8" s="38"/>
      <c r="D8" s="38"/>
      <c r="E8" s="38"/>
      <c r="F8" s="38"/>
      <c r="G8" s="38"/>
      <c r="H8" s="38"/>
      <c r="I8" s="39"/>
      <c r="J8" s="34" t="s">
        <v>98</v>
      </c>
      <c r="K8" s="34" t="s">
        <v>29</v>
      </c>
      <c r="L8" s="35"/>
      <c r="M8" s="35"/>
      <c r="N8" s="35"/>
      <c r="O8" s="35"/>
      <c r="P8" s="35"/>
      <c r="Q8" s="35"/>
      <c r="R8" s="39"/>
      <c r="S8" s="42"/>
      <c r="T8" s="42"/>
      <c r="U8" s="42"/>
      <c r="V8" s="42"/>
      <c r="W8" s="42"/>
      <c r="X8" s="42"/>
      <c r="Y8" s="42"/>
      <c r="Z8" s="42"/>
      <c r="AA8" s="39"/>
      <c r="AB8" s="39"/>
      <c r="AC8" s="39"/>
      <c r="AD8" s="39"/>
      <c r="AE8" s="39"/>
      <c r="AF8" s="39"/>
    </row>
    <row r="9" spans="1:42" ht="17" thickTop="1"/>
    <row r="10" spans="1:42">
      <c r="A10" s="3" t="s">
        <v>24</v>
      </c>
      <c r="B10" s="3" t="s">
        <v>25</v>
      </c>
      <c r="C10" s="3" t="s">
        <v>0</v>
      </c>
      <c r="D10" s="3" t="s">
        <v>1</v>
      </c>
      <c r="E10" s="3" t="s">
        <v>2</v>
      </c>
      <c r="F10" s="3" t="s">
        <v>3</v>
      </c>
      <c r="G10" s="3" t="s">
        <v>4</v>
      </c>
      <c r="H10" s="3" t="s">
        <v>28</v>
      </c>
      <c r="J10" s="3" t="s">
        <v>24</v>
      </c>
      <c r="K10" s="3" t="s">
        <v>25</v>
      </c>
      <c r="L10" s="3" t="s">
        <v>0</v>
      </c>
      <c r="M10" s="3" t="s">
        <v>1</v>
      </c>
      <c r="N10" s="3" t="s">
        <v>2</v>
      </c>
      <c r="O10" s="3" t="s">
        <v>3</v>
      </c>
      <c r="P10" s="3" t="s">
        <v>4</v>
      </c>
      <c r="Q10" s="3" t="s">
        <v>28</v>
      </c>
      <c r="S10" s="3" t="s">
        <v>24</v>
      </c>
      <c r="T10" s="3" t="s">
        <v>25</v>
      </c>
      <c r="U10" s="3" t="s">
        <v>0</v>
      </c>
      <c r="V10" s="3" t="s">
        <v>1</v>
      </c>
      <c r="W10" s="3" t="s">
        <v>2</v>
      </c>
      <c r="X10" s="3" t="s">
        <v>3</v>
      </c>
      <c r="Y10" s="3" t="s">
        <v>4</v>
      </c>
      <c r="Z10" s="3" t="s">
        <v>28</v>
      </c>
      <c r="AB10" s="3" t="s">
        <v>31</v>
      </c>
      <c r="AC10" s="3" t="s">
        <v>35</v>
      </c>
      <c r="AD10" s="3" t="s">
        <v>34</v>
      </c>
      <c r="AE10" s="3" t="s">
        <v>27</v>
      </c>
      <c r="AF10" s="30" t="s">
        <v>30</v>
      </c>
    </row>
    <row r="11" spans="1:42" ht="18.75" customHeight="1">
      <c r="A11" s="11"/>
      <c r="B11" s="11">
        <v>45383</v>
      </c>
      <c r="C11" s="11">
        <v>45384</v>
      </c>
      <c r="D11" s="11">
        <v>45385</v>
      </c>
      <c r="E11" s="11">
        <v>45386</v>
      </c>
      <c r="F11" s="11">
        <v>45387</v>
      </c>
      <c r="G11" s="8">
        <v>45388</v>
      </c>
      <c r="H11" s="11"/>
      <c r="I11" s="10"/>
      <c r="J11" s="11"/>
      <c r="K11" s="11"/>
      <c r="L11" s="11"/>
      <c r="M11" s="11">
        <v>45413</v>
      </c>
      <c r="N11" s="11">
        <v>45414</v>
      </c>
      <c r="O11" s="9">
        <v>45415</v>
      </c>
      <c r="P11" s="9">
        <v>45416</v>
      </c>
      <c r="Q11" s="11"/>
      <c r="S11" s="11"/>
      <c r="T11" s="11"/>
      <c r="U11" s="11"/>
      <c r="V11" s="11"/>
      <c r="W11" s="11"/>
      <c r="X11" s="11"/>
      <c r="Y11" s="8">
        <v>45444</v>
      </c>
      <c r="Z11" s="11"/>
      <c r="AB11" s="14">
        <v>4</v>
      </c>
      <c r="AC11" s="22">
        <f>COUNTA(A12:G12,A14:G14,A16:G16,A18:G18,A20:G20,A22:G22)</f>
        <v>30</v>
      </c>
      <c r="AD11" s="23">
        <f>COUNT(A12:G12,A14:G14,A16:G16,A18:G18,A20:G20,A22:G22)</f>
        <v>23</v>
      </c>
      <c r="AE11" s="23">
        <f t="shared" ref="AE11:AE22" si="0">AC11-AD11</f>
        <v>7</v>
      </c>
      <c r="AF11" s="15">
        <f>SUM(A12:G12,A14:G14,A16:G16,A18:G18,A20:G20,A22:G22)</f>
        <v>7.1875</v>
      </c>
    </row>
    <row r="12" spans="1:42">
      <c r="A12" s="12"/>
      <c r="B12" s="12">
        <v>0.3125</v>
      </c>
      <c r="C12" s="12">
        <v>0.3125</v>
      </c>
      <c r="D12" s="12">
        <v>0.3125</v>
      </c>
      <c r="E12" s="12">
        <v>0.3125</v>
      </c>
      <c r="F12" s="12">
        <v>0.3125</v>
      </c>
      <c r="G12" s="12">
        <v>0.3125</v>
      </c>
      <c r="H12" s="12">
        <f>SUM(A12:G12)</f>
        <v>1.875</v>
      </c>
      <c r="J12" s="12"/>
      <c r="K12" s="12"/>
      <c r="L12" s="12"/>
      <c r="M12" s="12">
        <v>0.3125</v>
      </c>
      <c r="N12" s="12">
        <v>0.3125</v>
      </c>
      <c r="O12" s="12" t="s">
        <v>26</v>
      </c>
      <c r="P12" s="12" t="s">
        <v>26</v>
      </c>
      <c r="Q12" s="12">
        <f>SUM(J12:P12,A20:G20)</f>
        <v>0.9375</v>
      </c>
      <c r="S12" s="12"/>
      <c r="T12" s="12"/>
      <c r="U12" s="12"/>
      <c r="V12" s="12"/>
      <c r="W12" s="12"/>
      <c r="X12" s="12"/>
      <c r="Y12" s="12">
        <v>0.3125</v>
      </c>
      <c r="Z12" s="12">
        <f>SUM(S12:Y12,J20:P20)</f>
        <v>1.875</v>
      </c>
      <c r="AB12" s="16">
        <v>5</v>
      </c>
      <c r="AC12" s="24">
        <f>COUNTA(J12:P12,J14:P14,J16:P16,J18:P18,J20:P20,J22:P22)</f>
        <v>31</v>
      </c>
      <c r="AD12" s="25">
        <f>COUNT(J12:P12,J14:P14,J16:P16,J18:P18,J20:P20,J22:P22)</f>
        <v>22</v>
      </c>
      <c r="AE12" s="25">
        <f t="shared" si="0"/>
        <v>9</v>
      </c>
      <c r="AF12" s="17">
        <f>SUM(J12:P12,J14:P14,J16:P16,J18:P18,J20:P20,J22:P22)</f>
        <v>6.875</v>
      </c>
    </row>
    <row r="13" spans="1:42">
      <c r="A13" s="9">
        <v>45389</v>
      </c>
      <c r="B13" s="11">
        <v>45390</v>
      </c>
      <c r="C13" s="11">
        <v>45391</v>
      </c>
      <c r="D13" s="11">
        <v>45392</v>
      </c>
      <c r="E13" s="11">
        <v>45393</v>
      </c>
      <c r="F13" s="11">
        <v>45394</v>
      </c>
      <c r="G13" s="8">
        <v>45395</v>
      </c>
      <c r="H13" s="11"/>
      <c r="I13" s="10"/>
      <c r="J13" s="9">
        <v>45417</v>
      </c>
      <c r="K13" s="9">
        <v>45418</v>
      </c>
      <c r="L13" s="11">
        <v>45419</v>
      </c>
      <c r="M13" s="11">
        <v>45420</v>
      </c>
      <c r="N13" s="11">
        <v>45421</v>
      </c>
      <c r="O13" s="11">
        <v>45422</v>
      </c>
      <c r="P13" s="8">
        <v>45423</v>
      </c>
      <c r="Q13" s="11"/>
      <c r="R13" s="10"/>
      <c r="S13" s="9">
        <v>45445</v>
      </c>
      <c r="T13" s="11">
        <v>45446</v>
      </c>
      <c r="U13" s="11">
        <v>45447</v>
      </c>
      <c r="V13" s="11">
        <v>45448</v>
      </c>
      <c r="W13" s="11">
        <v>45449</v>
      </c>
      <c r="X13" s="11">
        <v>45450</v>
      </c>
      <c r="Y13" s="8">
        <v>45451</v>
      </c>
      <c r="Z13" s="11"/>
      <c r="AB13" s="16">
        <v>6</v>
      </c>
      <c r="AC13" s="24">
        <f>COUNTA(S12:Y12,S14:Y14,S16:Y16,S18:Y18,S20:Y20,S22:Y22)</f>
        <v>30</v>
      </c>
      <c r="AD13" s="25">
        <f>COUNT(S12:Y12,S14:Y14,S16:Y16,S18:Y18,S20:Y20,S22:Y22)</f>
        <v>23</v>
      </c>
      <c r="AE13" s="25">
        <f t="shared" si="0"/>
        <v>7</v>
      </c>
      <c r="AF13" s="17">
        <f>SUM(S12:Y12,S14:Y14,S16:Y16,S18:Y18,S20:Y20,S22:Y22)</f>
        <v>7.1875</v>
      </c>
    </row>
    <row r="14" spans="1:42">
      <c r="A14" s="12" t="s">
        <v>26</v>
      </c>
      <c r="B14" s="12">
        <v>0.3125</v>
      </c>
      <c r="C14" s="12">
        <v>0.3125</v>
      </c>
      <c r="D14" s="12">
        <v>0.3125</v>
      </c>
      <c r="E14" s="12">
        <v>0.3125</v>
      </c>
      <c r="F14" s="12">
        <v>0.3125</v>
      </c>
      <c r="G14" s="12" t="s">
        <v>26</v>
      </c>
      <c r="H14" s="12">
        <f>SUM(A14:G14)</f>
        <v>1.5625</v>
      </c>
      <c r="J14" s="12" t="s">
        <v>29</v>
      </c>
      <c r="K14" s="12" t="s">
        <v>26</v>
      </c>
      <c r="L14" s="12">
        <v>0.3125</v>
      </c>
      <c r="M14" s="12">
        <v>0.3125</v>
      </c>
      <c r="N14" s="12">
        <v>0.3125</v>
      </c>
      <c r="O14" s="12">
        <v>0.3125</v>
      </c>
      <c r="P14" s="12" t="s">
        <v>26</v>
      </c>
      <c r="Q14" s="12">
        <f>SUM(J14:P14)</f>
        <v>1.25</v>
      </c>
      <c r="S14" s="12" t="s">
        <v>26</v>
      </c>
      <c r="T14" s="12">
        <v>0.3125</v>
      </c>
      <c r="U14" s="12">
        <v>0.3125</v>
      </c>
      <c r="V14" s="12">
        <v>0.3125</v>
      </c>
      <c r="W14" s="12">
        <v>0.3125</v>
      </c>
      <c r="X14" s="12">
        <v>0.3125</v>
      </c>
      <c r="Y14" s="12" t="s">
        <v>26</v>
      </c>
      <c r="Z14" s="12">
        <f>SUM(S14:Y14)</f>
        <v>1.5625</v>
      </c>
      <c r="AB14" s="16">
        <v>7</v>
      </c>
      <c r="AC14" s="24">
        <f>COUNTA(A27:G27,A29:G29,A31:G31,A33:G33,A35:G35,A37:G37)</f>
        <v>31</v>
      </c>
      <c r="AD14" s="25">
        <f>COUNT(A27:G27,A29:G29,A31:G31,A33:G33,A35:G35,A37:G37)</f>
        <v>24</v>
      </c>
      <c r="AE14" s="25">
        <f t="shared" si="0"/>
        <v>7</v>
      </c>
      <c r="AF14" s="17">
        <f>SUM(A27:G27,A29:G29,A31:G31,A33:G33,A35:G35,A37:G37)</f>
        <v>7.5</v>
      </c>
    </row>
    <row r="15" spans="1:42">
      <c r="A15" s="9">
        <v>45396</v>
      </c>
      <c r="B15" s="11">
        <v>45397</v>
      </c>
      <c r="C15" s="11">
        <v>45398</v>
      </c>
      <c r="D15" s="11">
        <v>45399</v>
      </c>
      <c r="E15" s="11">
        <v>45400</v>
      </c>
      <c r="F15" s="11">
        <v>45401</v>
      </c>
      <c r="G15" s="8">
        <v>45402</v>
      </c>
      <c r="H15" s="11"/>
      <c r="I15" s="10"/>
      <c r="J15" s="9">
        <v>45424</v>
      </c>
      <c r="K15" s="11">
        <v>45425</v>
      </c>
      <c r="L15" s="11">
        <v>45426</v>
      </c>
      <c r="M15" s="11">
        <v>45427</v>
      </c>
      <c r="N15" s="11">
        <v>45428</v>
      </c>
      <c r="O15" s="11">
        <v>45429</v>
      </c>
      <c r="P15" s="8">
        <v>45430</v>
      </c>
      <c r="Q15" s="11"/>
      <c r="R15" s="10"/>
      <c r="S15" s="9">
        <v>45452</v>
      </c>
      <c r="T15" s="11">
        <v>45453</v>
      </c>
      <c r="U15" s="11">
        <v>45454</v>
      </c>
      <c r="V15" s="11">
        <v>45455</v>
      </c>
      <c r="W15" s="11">
        <v>45456</v>
      </c>
      <c r="X15" s="11">
        <v>45457</v>
      </c>
      <c r="Y15" s="8">
        <v>45458</v>
      </c>
      <c r="Z15" s="11"/>
      <c r="AB15" s="16">
        <v>8</v>
      </c>
      <c r="AC15" s="24">
        <f>COUNTA(J27:P27,J29:P29,J31:P31,J33:P33,J35:P35,J37:P37)</f>
        <v>31</v>
      </c>
      <c r="AD15" s="25">
        <f>COUNT(J27:P27,J29:P29,J31:P31,J33:P33,J35:P35,J37:P37)</f>
        <v>24</v>
      </c>
      <c r="AE15" s="25">
        <f t="shared" si="0"/>
        <v>7</v>
      </c>
      <c r="AF15" s="17">
        <f>SUM(J27:P27,J29:P29,J31:P31,J33:P33,J35:P35,J37:P37)</f>
        <v>7.5</v>
      </c>
    </row>
    <row r="16" spans="1:42">
      <c r="A16" s="12" t="s">
        <v>26</v>
      </c>
      <c r="B16" s="12">
        <v>0.3125</v>
      </c>
      <c r="C16" s="12">
        <v>0.3125</v>
      </c>
      <c r="D16" s="12">
        <v>0.3125</v>
      </c>
      <c r="E16" s="12">
        <v>0.3125</v>
      </c>
      <c r="F16" s="12">
        <v>0.3125</v>
      </c>
      <c r="G16" s="12">
        <v>0.3125</v>
      </c>
      <c r="H16" s="12">
        <f>SUM(A16:G16)</f>
        <v>1.875</v>
      </c>
      <c r="J16" s="12" t="s">
        <v>26</v>
      </c>
      <c r="K16" s="12">
        <v>0.3125</v>
      </c>
      <c r="L16" s="12">
        <v>0.3125</v>
      </c>
      <c r="M16" s="12">
        <v>0.3125</v>
      </c>
      <c r="N16" s="12">
        <v>0.3125</v>
      </c>
      <c r="O16" s="12">
        <v>0.3125</v>
      </c>
      <c r="P16" s="12">
        <v>0.3125</v>
      </c>
      <c r="Q16" s="12">
        <f>SUM(J16:P16)</f>
        <v>1.875</v>
      </c>
      <c r="S16" s="12" t="s">
        <v>26</v>
      </c>
      <c r="T16" s="12">
        <v>0.3125</v>
      </c>
      <c r="U16" s="12">
        <v>0.3125</v>
      </c>
      <c r="V16" s="12">
        <v>0.3125</v>
      </c>
      <c r="W16" s="12">
        <v>0.3125</v>
      </c>
      <c r="X16" s="12">
        <v>0.3125</v>
      </c>
      <c r="Y16" s="12">
        <v>0.3125</v>
      </c>
      <c r="Z16" s="12">
        <f>SUM(S16:Y16)</f>
        <v>1.875</v>
      </c>
      <c r="AB16" s="16">
        <v>9</v>
      </c>
      <c r="AC16" s="24">
        <f>COUNTA(S27:Y27,S29:Y29,S31:Y31,S33:Y33,S35:Y35,S37:Y37)</f>
        <v>30</v>
      </c>
      <c r="AD16" s="25">
        <f>COUNT(S27:Y27,S29:Y29,S31:Y31,S33:Y33,S35:Y35,S37:Y37)</f>
        <v>21</v>
      </c>
      <c r="AE16" s="25">
        <f t="shared" si="0"/>
        <v>9</v>
      </c>
      <c r="AF16" s="17">
        <f>SUM(S27:Y27,S29:Y29,S31:Y31,S33:Y33,S35:Y35,S37:Y37)</f>
        <v>6.5625</v>
      </c>
    </row>
    <row r="17" spans="1:32">
      <c r="A17" s="9">
        <v>45403</v>
      </c>
      <c r="B17" s="11">
        <v>45404</v>
      </c>
      <c r="C17" s="11">
        <v>45405</v>
      </c>
      <c r="D17" s="11">
        <v>45406</v>
      </c>
      <c r="E17" s="11">
        <v>45407</v>
      </c>
      <c r="F17" s="11">
        <v>45408</v>
      </c>
      <c r="G17" s="8">
        <v>45409</v>
      </c>
      <c r="H17" s="11"/>
      <c r="I17" s="10"/>
      <c r="J17" s="9">
        <v>45431</v>
      </c>
      <c r="K17" s="11">
        <v>45432</v>
      </c>
      <c r="L17" s="11">
        <v>45433</v>
      </c>
      <c r="M17" s="11">
        <v>45434</v>
      </c>
      <c r="N17" s="11">
        <v>45435</v>
      </c>
      <c r="O17" s="11">
        <v>45436</v>
      </c>
      <c r="P17" s="8">
        <v>45437</v>
      </c>
      <c r="Q17" s="11"/>
      <c r="R17" s="10"/>
      <c r="S17" s="9">
        <v>45459</v>
      </c>
      <c r="T17" s="11">
        <v>45460</v>
      </c>
      <c r="U17" s="11">
        <v>45461</v>
      </c>
      <c r="V17" s="11">
        <v>45462</v>
      </c>
      <c r="W17" s="11">
        <v>45463</v>
      </c>
      <c r="X17" s="11">
        <v>45464</v>
      </c>
      <c r="Y17" s="8">
        <v>45465</v>
      </c>
      <c r="Z17" s="11"/>
      <c r="AB17" s="16">
        <v>10</v>
      </c>
      <c r="AC17" s="24">
        <f>COUNTA(A52:G52,A42:G42,A44:G44,A46:G46,A48:G48,A50:G50)</f>
        <v>31</v>
      </c>
      <c r="AD17" s="25">
        <f>COUNT(A52:G52,A42:G42,A44:G44,A46:G46,A48:G48,A50:G50)</f>
        <v>24</v>
      </c>
      <c r="AE17" s="25">
        <f t="shared" si="0"/>
        <v>7</v>
      </c>
      <c r="AF17" s="17">
        <f>SUM(A42:G42,A44:G44,A46:G46,A48:G48,A50:G50,A52:G52)</f>
        <v>7.5</v>
      </c>
    </row>
    <row r="18" spans="1:32">
      <c r="A18" s="12" t="s">
        <v>26</v>
      </c>
      <c r="B18" s="12">
        <v>0.3125</v>
      </c>
      <c r="C18" s="12">
        <v>0.3125</v>
      </c>
      <c r="D18" s="12">
        <v>0.3125</v>
      </c>
      <c r="E18" s="12">
        <v>0.3125</v>
      </c>
      <c r="F18" s="12">
        <v>0.3125</v>
      </c>
      <c r="G18" s="12" t="s">
        <v>26</v>
      </c>
      <c r="H18" s="12">
        <f>SUM(A18:G18)</f>
        <v>1.5625</v>
      </c>
      <c r="J18" s="12" t="s">
        <v>26</v>
      </c>
      <c r="K18" s="12">
        <v>0.3125</v>
      </c>
      <c r="L18" s="12">
        <v>0.3125</v>
      </c>
      <c r="M18" s="12">
        <v>0.3125</v>
      </c>
      <c r="N18" s="12">
        <v>0.3125</v>
      </c>
      <c r="O18" s="12">
        <v>0.3125</v>
      </c>
      <c r="P18" s="12" t="s">
        <v>26</v>
      </c>
      <c r="Q18" s="12">
        <f>SUM(J18:P18)</f>
        <v>1.5625</v>
      </c>
      <c r="S18" s="12" t="s">
        <v>26</v>
      </c>
      <c r="T18" s="12">
        <v>0.3125</v>
      </c>
      <c r="U18" s="12">
        <v>0.3125</v>
      </c>
      <c r="V18" s="12">
        <v>0.3125</v>
      </c>
      <c r="W18" s="12">
        <v>0.3125</v>
      </c>
      <c r="X18" s="12">
        <v>0.3125</v>
      </c>
      <c r="Y18" s="12" t="s">
        <v>26</v>
      </c>
      <c r="Z18" s="12">
        <f>SUM(S18:Y18)</f>
        <v>1.5625</v>
      </c>
      <c r="AB18" s="16">
        <v>11</v>
      </c>
      <c r="AC18" s="24">
        <f>COUNTA(J52:P52,J42:P42,J44:P44,J46:P46,J48:P48,J50:P50)</f>
        <v>30</v>
      </c>
      <c r="AD18" s="25">
        <f>COUNT(J52:P52,J42:P42,J44:P44,J46:P46,J48:P48,J50:P50)</f>
        <v>23</v>
      </c>
      <c r="AE18" s="25">
        <f t="shared" si="0"/>
        <v>7</v>
      </c>
      <c r="AF18" s="17">
        <f>SUM(J52:P52,J42:P42,J44:P44,J46:P46,J48:P48,J50:P50)</f>
        <v>7.1875</v>
      </c>
    </row>
    <row r="19" spans="1:32">
      <c r="A19" s="9">
        <v>45410</v>
      </c>
      <c r="B19" s="9">
        <v>45411</v>
      </c>
      <c r="C19" s="11">
        <v>45412</v>
      </c>
      <c r="D19" s="11"/>
      <c r="E19" s="11"/>
      <c r="F19" s="11"/>
      <c r="G19" s="11"/>
      <c r="H19" s="11"/>
      <c r="I19" s="10"/>
      <c r="J19" s="9">
        <v>45438</v>
      </c>
      <c r="K19" s="11">
        <v>45439</v>
      </c>
      <c r="L19" s="11">
        <v>45440</v>
      </c>
      <c r="M19" s="11">
        <v>45441</v>
      </c>
      <c r="N19" s="11">
        <v>45442</v>
      </c>
      <c r="O19" s="11">
        <v>45443</v>
      </c>
      <c r="P19" s="11"/>
      <c r="Q19" s="11"/>
      <c r="R19" s="10"/>
      <c r="S19" s="9">
        <v>45466</v>
      </c>
      <c r="T19" s="11">
        <v>45467</v>
      </c>
      <c r="U19" s="11">
        <v>45468</v>
      </c>
      <c r="V19" s="11">
        <v>45469</v>
      </c>
      <c r="W19" s="11">
        <v>45470</v>
      </c>
      <c r="X19" s="11">
        <v>45471</v>
      </c>
      <c r="Y19" s="8">
        <v>45472</v>
      </c>
      <c r="Z19" s="11"/>
      <c r="AB19" s="16">
        <v>12</v>
      </c>
      <c r="AC19" s="24">
        <f>COUNTA(S52:Y52,S42:Y42,S44:Y44,S46:Y46,S48:Y48,S50:Y50)</f>
        <v>31</v>
      </c>
      <c r="AD19" s="25">
        <f>COUNT(S52:Y52,S42:Y42,S44:Y44,S46:Y46,S48:Y48,S50:Y50)</f>
        <v>24</v>
      </c>
      <c r="AE19" s="25">
        <f t="shared" si="0"/>
        <v>7</v>
      </c>
      <c r="AF19" s="17">
        <f>SUM(S52:Y52,S42:Y42,S44:Y44,S46:Y46,S48:Y48,S50:Y50)</f>
        <v>7.5</v>
      </c>
    </row>
    <row r="20" spans="1:32">
      <c r="A20" s="12" t="s">
        <v>26</v>
      </c>
      <c r="B20" s="12" t="s">
        <v>26</v>
      </c>
      <c r="C20" s="12">
        <v>0.3125</v>
      </c>
      <c r="D20" s="12"/>
      <c r="E20" s="12"/>
      <c r="F20" s="12"/>
      <c r="G20" s="12"/>
      <c r="H20" s="12"/>
      <c r="J20" s="12" t="s">
        <v>26</v>
      </c>
      <c r="K20" s="12">
        <v>0.3125</v>
      </c>
      <c r="L20" s="12">
        <v>0.3125</v>
      </c>
      <c r="M20" s="12">
        <v>0.3125</v>
      </c>
      <c r="N20" s="12">
        <v>0.3125</v>
      </c>
      <c r="O20" s="12">
        <v>0.3125</v>
      </c>
      <c r="P20" s="12"/>
      <c r="Q20" s="12"/>
      <c r="S20" s="12" t="s">
        <v>26</v>
      </c>
      <c r="T20" s="12">
        <v>0.3125</v>
      </c>
      <c r="U20" s="12">
        <v>0.3125</v>
      </c>
      <c r="V20" s="12">
        <v>0.3125</v>
      </c>
      <c r="W20" s="12">
        <v>0.3125</v>
      </c>
      <c r="X20" s="12">
        <v>0.3125</v>
      </c>
      <c r="Y20" s="12">
        <v>0.3125</v>
      </c>
      <c r="Z20" s="12">
        <f>SUM(S20:Y20)</f>
        <v>1.875</v>
      </c>
      <c r="AB20" s="16">
        <v>1</v>
      </c>
      <c r="AC20" s="24">
        <f>COUNTA(A57:G57,A59:G59,A61:G61,A63:G63,A65:G65,A67:G67)</f>
        <v>31</v>
      </c>
      <c r="AD20" s="25">
        <f>COUNT(A57:G57,A59:G59,A61:G61,A63:G63,A65:G65,A67:G67)</f>
        <v>23</v>
      </c>
      <c r="AE20" s="25">
        <f t="shared" si="0"/>
        <v>8</v>
      </c>
      <c r="AF20" s="17">
        <f>SUM(A57:G57,A59:G59,A61:G61,A63:G63,A65:G65,A67:G67)</f>
        <v>7.1875</v>
      </c>
    </row>
    <row r="21" spans="1:32">
      <c r="A21" s="11"/>
      <c r="B21" s="11"/>
      <c r="C21" s="11"/>
      <c r="D21" s="11"/>
      <c r="E21" s="11"/>
      <c r="F21" s="11"/>
      <c r="G21" s="11"/>
      <c r="H21" s="4"/>
      <c r="J21" s="11"/>
      <c r="K21" s="11"/>
      <c r="L21" s="11"/>
      <c r="M21" s="11"/>
      <c r="N21" s="11"/>
      <c r="O21" s="11"/>
      <c r="P21" s="11"/>
      <c r="Q21" s="4"/>
      <c r="S21" s="9">
        <v>45473</v>
      </c>
      <c r="T21" s="11"/>
      <c r="U21" s="11"/>
      <c r="V21" s="11"/>
      <c r="W21" s="11"/>
      <c r="X21" s="11"/>
      <c r="Y21" s="11"/>
      <c r="Z21" s="4"/>
      <c r="AB21" s="16">
        <v>2</v>
      </c>
      <c r="AC21" s="24">
        <f>COUNTA(J67:P67,J57:P57,J59:P59,J61:P61,J63:P63,J65:P65)</f>
        <v>28</v>
      </c>
      <c r="AD21" s="25">
        <f>COUNT(J57:P57,J59:P59,J61:P61,J63:P63,J65:P65,J67:P67)</f>
        <v>20</v>
      </c>
      <c r="AE21" s="25">
        <f t="shared" si="0"/>
        <v>8</v>
      </c>
      <c r="AF21" s="17">
        <f>SUM(J57:P57,J59:P59,J61:P61,J63:P63,J65:P65,J67:P67)</f>
        <v>6.25</v>
      </c>
    </row>
    <row r="22" spans="1:32" ht="17" thickBot="1">
      <c r="A22" s="12"/>
      <c r="B22" s="12"/>
      <c r="C22" s="12"/>
      <c r="D22" s="12"/>
      <c r="E22" s="12"/>
      <c r="F22" s="12"/>
      <c r="G22" s="12"/>
      <c r="H22" s="12"/>
      <c r="J22" s="12"/>
      <c r="K22" s="12"/>
      <c r="L22" s="12"/>
      <c r="M22" s="12"/>
      <c r="N22" s="12"/>
      <c r="O22" s="12"/>
      <c r="P22" s="12"/>
      <c r="Q22" s="12"/>
      <c r="S22" s="12" t="s">
        <v>26</v>
      </c>
      <c r="T22" s="12"/>
      <c r="U22" s="12"/>
      <c r="V22" s="12"/>
      <c r="W22" s="12"/>
      <c r="X22" s="12"/>
      <c r="Y22" s="12"/>
      <c r="Z22" s="12"/>
      <c r="AB22" s="18">
        <v>3</v>
      </c>
      <c r="AC22" s="26">
        <f>COUNTA(S57:Y57,S59:Y59,S61:Y61,S63:Y63,S65:Y65,S67:Y67)</f>
        <v>31</v>
      </c>
      <c r="AD22" s="27">
        <f>COUNT(S57:Y57,S59:Y59,S61:Y61,S63:Y63,S65:Y65,S67:Y67)</f>
        <v>23</v>
      </c>
      <c r="AE22" s="27">
        <f t="shared" si="0"/>
        <v>8</v>
      </c>
      <c r="AF22" s="19">
        <f>SUM(S57:Y57,S59:Y59,S61:Y61,S63:Y63,S65:Y65,S67:Y67)</f>
        <v>7.1875</v>
      </c>
    </row>
    <row r="23" spans="1:32" ht="17.25" customHeight="1" thickTop="1">
      <c r="A23" s="50" t="s">
        <v>77</v>
      </c>
      <c r="B23" s="50"/>
      <c r="C23" s="50"/>
      <c r="D23" s="50"/>
      <c r="E23" s="50"/>
      <c r="F23" s="50"/>
      <c r="G23" s="50"/>
      <c r="H23" s="50"/>
      <c r="J23" s="50" t="s">
        <v>78</v>
      </c>
      <c r="K23" s="50"/>
      <c r="L23" s="50"/>
      <c r="M23" s="50"/>
      <c r="N23" s="50"/>
      <c r="O23" s="50"/>
      <c r="P23" s="50"/>
      <c r="Q23" s="50"/>
      <c r="S23" s="50"/>
      <c r="T23" s="50"/>
      <c r="U23" s="50"/>
      <c r="V23" s="50"/>
      <c r="W23" s="50"/>
      <c r="X23" s="50"/>
      <c r="Y23" s="50"/>
      <c r="Z23" s="50"/>
      <c r="AB23" s="20" t="s">
        <v>32</v>
      </c>
      <c r="AC23" s="28">
        <f>SUM(AC11:AC22)</f>
        <v>365</v>
      </c>
      <c r="AD23" s="28">
        <f t="shared" ref="AD23:AF23" si="1">SUM(AD11:AD22)</f>
        <v>274</v>
      </c>
      <c r="AE23" s="28">
        <f t="shared" si="1"/>
        <v>91</v>
      </c>
      <c r="AF23" s="21">
        <f t="shared" si="1"/>
        <v>85.625</v>
      </c>
    </row>
    <row r="24" spans="1:32">
      <c r="A24" s="52"/>
      <c r="B24" s="52"/>
      <c r="C24" s="52"/>
      <c r="D24" s="52"/>
      <c r="E24" s="52"/>
      <c r="F24" s="52"/>
      <c r="G24" s="52"/>
      <c r="H24" s="52"/>
      <c r="J24" s="52"/>
      <c r="K24" s="52"/>
      <c r="L24" s="52"/>
      <c r="M24" s="52"/>
      <c r="N24" s="52"/>
      <c r="O24" s="52"/>
      <c r="P24" s="52"/>
      <c r="Q24" s="52"/>
      <c r="S24" s="52"/>
      <c r="T24" s="52"/>
      <c r="U24" s="52"/>
      <c r="V24" s="52"/>
      <c r="W24" s="52"/>
      <c r="X24" s="52"/>
      <c r="Y24" s="52"/>
      <c r="Z24" s="52"/>
      <c r="AB24" s="29" t="s">
        <v>33</v>
      </c>
      <c r="AC24" s="29"/>
      <c r="AD24" s="29"/>
      <c r="AE24" s="29"/>
      <c r="AF24" s="13">
        <f>ROUNDUP(AF23/(AC23/7)*24*60,0)/(24*60)</f>
        <v>1.6423611111111112</v>
      </c>
    </row>
    <row r="25" spans="1:32">
      <c r="A25" s="3" t="s">
        <v>24</v>
      </c>
      <c r="B25" s="3" t="s">
        <v>25</v>
      </c>
      <c r="C25" s="3" t="s">
        <v>0</v>
      </c>
      <c r="D25" s="3" t="s">
        <v>1</v>
      </c>
      <c r="E25" s="30" t="s">
        <v>2</v>
      </c>
      <c r="F25" s="3" t="s">
        <v>3</v>
      </c>
      <c r="G25" s="3" t="s">
        <v>4</v>
      </c>
      <c r="H25" s="3" t="s">
        <v>28</v>
      </c>
      <c r="J25" s="3" t="s">
        <v>24</v>
      </c>
      <c r="K25" s="3" t="s">
        <v>25</v>
      </c>
      <c r="L25" s="3" t="s">
        <v>0</v>
      </c>
      <c r="M25" s="3" t="s">
        <v>1</v>
      </c>
      <c r="N25" s="3" t="s">
        <v>2</v>
      </c>
      <c r="O25" s="3" t="s">
        <v>3</v>
      </c>
      <c r="P25" s="3" t="s">
        <v>4</v>
      </c>
      <c r="Q25" s="3" t="s">
        <v>28</v>
      </c>
      <c r="S25" s="3" t="s">
        <v>24</v>
      </c>
      <c r="T25" s="3" t="s">
        <v>25</v>
      </c>
      <c r="U25" s="3" t="s">
        <v>0</v>
      </c>
      <c r="V25" s="3" t="s">
        <v>1</v>
      </c>
      <c r="W25" s="3" t="s">
        <v>2</v>
      </c>
      <c r="X25" s="3" t="s">
        <v>3</v>
      </c>
      <c r="Y25" s="3" t="s">
        <v>4</v>
      </c>
      <c r="Z25" s="3" t="s">
        <v>28</v>
      </c>
    </row>
    <row r="26" spans="1:32">
      <c r="A26" s="11"/>
      <c r="B26" s="11">
        <v>45474</v>
      </c>
      <c r="C26" s="11">
        <v>45475</v>
      </c>
      <c r="D26" s="11">
        <v>45476</v>
      </c>
      <c r="E26" s="11">
        <v>45477</v>
      </c>
      <c r="F26" s="11">
        <v>45478</v>
      </c>
      <c r="G26" s="8">
        <v>45479</v>
      </c>
      <c r="H26" s="11"/>
      <c r="J26" s="11"/>
      <c r="K26" s="11"/>
      <c r="L26" s="11"/>
      <c r="M26" s="11"/>
      <c r="N26" s="11">
        <v>45505</v>
      </c>
      <c r="O26" s="11">
        <v>45506</v>
      </c>
      <c r="P26" s="8">
        <v>45507</v>
      </c>
      <c r="Q26" s="11"/>
      <c r="S26" s="9">
        <v>45536</v>
      </c>
      <c r="T26" s="11">
        <v>45537</v>
      </c>
      <c r="U26" s="11">
        <v>45538</v>
      </c>
      <c r="V26" s="11">
        <v>45539</v>
      </c>
      <c r="W26" s="11">
        <v>45540</v>
      </c>
      <c r="X26" s="11">
        <v>45541</v>
      </c>
      <c r="Y26" s="8">
        <v>45542</v>
      </c>
      <c r="Z26" s="11"/>
      <c r="AB26" s="67" t="s">
        <v>43</v>
      </c>
      <c r="AC26" s="67"/>
      <c r="AD26" s="67"/>
      <c r="AE26" s="32" t="s">
        <v>44</v>
      </c>
      <c r="AF26" s="33" t="s">
        <v>45</v>
      </c>
    </row>
    <row r="27" spans="1:32" ht="18.75" customHeight="1">
      <c r="A27" s="12"/>
      <c r="B27" s="12">
        <v>0.3125</v>
      </c>
      <c r="C27" s="12">
        <v>0.3125</v>
      </c>
      <c r="D27" s="12">
        <v>0.3125</v>
      </c>
      <c r="E27" s="12">
        <v>0.3125</v>
      </c>
      <c r="F27" s="12">
        <v>0.3125</v>
      </c>
      <c r="G27" s="12">
        <v>0.3125</v>
      </c>
      <c r="H27" s="12">
        <f>SUM(A27:G27,S22:Y22)</f>
        <v>1.875</v>
      </c>
      <c r="J27" s="12"/>
      <c r="K27" s="12"/>
      <c r="L27" s="12"/>
      <c r="M27" s="12"/>
      <c r="N27" s="12">
        <v>0.3125</v>
      </c>
      <c r="O27" s="12">
        <v>0.3125</v>
      </c>
      <c r="P27" s="12">
        <v>0.3125</v>
      </c>
      <c r="Q27" s="12">
        <f>SUM(J27:P27,A35:G35)</f>
        <v>1.875</v>
      </c>
      <c r="S27" s="12" t="s">
        <v>26</v>
      </c>
      <c r="T27" s="12">
        <v>0.3125</v>
      </c>
      <c r="U27" s="12">
        <v>0.3125</v>
      </c>
      <c r="V27" s="12">
        <v>0.3125</v>
      </c>
      <c r="W27" s="12">
        <v>0.3125</v>
      </c>
      <c r="X27" s="12">
        <v>0.3125</v>
      </c>
      <c r="Y27" s="12">
        <v>0.3125</v>
      </c>
      <c r="Z27" s="12">
        <f>SUM(S27:Y27)</f>
        <v>1.875</v>
      </c>
      <c r="AB27" s="66" t="s">
        <v>36</v>
      </c>
      <c r="AC27" s="66"/>
      <c r="AD27" s="66"/>
      <c r="AE27" s="68">
        <v>274</v>
      </c>
      <c r="AF27" s="57" t="s">
        <v>42</v>
      </c>
    </row>
    <row r="28" spans="1:32">
      <c r="A28" s="9">
        <v>45480</v>
      </c>
      <c r="B28" s="11">
        <v>45481</v>
      </c>
      <c r="C28" s="11">
        <v>45482</v>
      </c>
      <c r="D28" s="11">
        <v>45483</v>
      </c>
      <c r="E28" s="11">
        <v>45484</v>
      </c>
      <c r="F28" s="11">
        <v>45485</v>
      </c>
      <c r="G28" s="8">
        <v>45486</v>
      </c>
      <c r="H28" s="11"/>
      <c r="I28" s="10"/>
      <c r="J28" s="9">
        <v>45508</v>
      </c>
      <c r="K28" s="11">
        <v>45509</v>
      </c>
      <c r="L28" s="11">
        <v>45510</v>
      </c>
      <c r="M28" s="11">
        <v>45511</v>
      </c>
      <c r="N28" s="11">
        <v>45512</v>
      </c>
      <c r="O28" s="11">
        <v>45513</v>
      </c>
      <c r="P28" s="8">
        <v>45514</v>
      </c>
      <c r="Q28" s="11"/>
      <c r="R28" s="10"/>
      <c r="S28" s="9">
        <v>45543</v>
      </c>
      <c r="T28" s="11">
        <v>45544</v>
      </c>
      <c r="U28" s="11">
        <v>45545</v>
      </c>
      <c r="V28" s="11">
        <v>45546</v>
      </c>
      <c r="W28" s="11">
        <v>45547</v>
      </c>
      <c r="X28" s="11">
        <v>45548</v>
      </c>
      <c r="Y28" s="8">
        <v>45549</v>
      </c>
      <c r="Z28" s="11"/>
      <c r="AB28" s="66"/>
      <c r="AC28" s="66"/>
      <c r="AD28" s="66"/>
      <c r="AE28" s="68"/>
      <c r="AF28" s="57"/>
    </row>
    <row r="29" spans="1:32" ht="18.75" customHeight="1">
      <c r="A29" s="12" t="s">
        <v>26</v>
      </c>
      <c r="B29" s="12">
        <v>0.3125</v>
      </c>
      <c r="C29" s="12">
        <v>0.3125</v>
      </c>
      <c r="D29" s="12">
        <v>0.3125</v>
      </c>
      <c r="E29" s="12">
        <v>0.3125</v>
      </c>
      <c r="F29" s="12">
        <v>0.3125</v>
      </c>
      <c r="G29" s="12" t="s">
        <v>26</v>
      </c>
      <c r="H29" s="12">
        <f>SUM(A29:G29)</f>
        <v>1.5625</v>
      </c>
      <c r="I29" s="10"/>
      <c r="J29" s="12" t="s">
        <v>26</v>
      </c>
      <c r="K29" s="12">
        <v>0.3125</v>
      </c>
      <c r="L29" s="12">
        <v>0.3125</v>
      </c>
      <c r="M29" s="12">
        <v>0.3125</v>
      </c>
      <c r="N29" s="12">
        <v>0.3125</v>
      </c>
      <c r="O29" s="12">
        <v>0.3125</v>
      </c>
      <c r="P29" s="12" t="s">
        <v>26</v>
      </c>
      <c r="Q29" s="12">
        <f>SUM(J29:P29)</f>
        <v>1.5625</v>
      </c>
      <c r="R29" s="10"/>
      <c r="S29" s="12" t="s">
        <v>26</v>
      </c>
      <c r="T29" s="12">
        <v>0.3125</v>
      </c>
      <c r="U29" s="12">
        <v>0.3125</v>
      </c>
      <c r="V29" s="12">
        <v>0.3125</v>
      </c>
      <c r="W29" s="12">
        <v>0.3125</v>
      </c>
      <c r="X29" s="12">
        <v>0.3125</v>
      </c>
      <c r="Y29" s="12" t="s">
        <v>26</v>
      </c>
      <c r="Z29" s="12">
        <f>SUM(S29:Y29)</f>
        <v>1.5625</v>
      </c>
      <c r="AB29" s="66" t="s">
        <v>37</v>
      </c>
      <c r="AC29" s="66"/>
      <c r="AD29" s="66"/>
      <c r="AE29" s="54">
        <v>1.875</v>
      </c>
      <c r="AF29" s="57" t="s">
        <v>42</v>
      </c>
    </row>
    <row r="30" spans="1:32" ht="18.75" customHeight="1">
      <c r="A30" s="9">
        <v>45487</v>
      </c>
      <c r="B30" s="9">
        <v>45488</v>
      </c>
      <c r="C30" s="11">
        <v>45489</v>
      </c>
      <c r="D30" s="11">
        <v>45490</v>
      </c>
      <c r="E30" s="11">
        <v>45491</v>
      </c>
      <c r="F30" s="11">
        <v>45492</v>
      </c>
      <c r="G30" s="8">
        <v>45493</v>
      </c>
      <c r="H30" s="11"/>
      <c r="I30" s="10"/>
      <c r="J30" s="9">
        <v>45515</v>
      </c>
      <c r="K30" s="9">
        <v>45516</v>
      </c>
      <c r="L30" s="11">
        <v>45517</v>
      </c>
      <c r="M30" s="11">
        <v>45518</v>
      </c>
      <c r="N30" s="11">
        <v>45519</v>
      </c>
      <c r="O30" s="11">
        <v>45520</v>
      </c>
      <c r="P30" s="8">
        <v>45521</v>
      </c>
      <c r="Q30" s="11"/>
      <c r="R30" s="10"/>
      <c r="S30" s="9">
        <v>45550</v>
      </c>
      <c r="T30" s="9">
        <v>45551</v>
      </c>
      <c r="U30" s="11">
        <v>45552</v>
      </c>
      <c r="V30" s="11">
        <v>45553</v>
      </c>
      <c r="W30" s="11">
        <v>45554</v>
      </c>
      <c r="X30" s="11">
        <v>45555</v>
      </c>
      <c r="Y30" s="8">
        <v>45556</v>
      </c>
      <c r="Z30" s="11"/>
      <c r="AB30" s="66"/>
      <c r="AC30" s="66"/>
      <c r="AD30" s="66"/>
      <c r="AE30" s="54"/>
      <c r="AF30" s="57"/>
    </row>
    <row r="31" spans="1:32" ht="18.75" customHeight="1">
      <c r="A31" s="12" t="s">
        <v>26</v>
      </c>
      <c r="B31" s="12" t="s">
        <v>26</v>
      </c>
      <c r="C31" s="12">
        <v>0.3125</v>
      </c>
      <c r="D31" s="12">
        <v>0.3125</v>
      </c>
      <c r="E31" s="12">
        <v>0.3125</v>
      </c>
      <c r="F31" s="12">
        <v>0.3125</v>
      </c>
      <c r="G31" s="12">
        <v>0.3125</v>
      </c>
      <c r="H31" s="12">
        <f>SUM(A31:G31)</f>
        <v>1.5625</v>
      </c>
      <c r="I31" s="10"/>
      <c r="J31" s="12" t="s">
        <v>29</v>
      </c>
      <c r="K31" s="12" t="s">
        <v>26</v>
      </c>
      <c r="L31" s="12">
        <v>0.3125</v>
      </c>
      <c r="M31" s="12">
        <v>0.3125</v>
      </c>
      <c r="N31" s="12">
        <v>0.3125</v>
      </c>
      <c r="O31" s="12">
        <v>0.3125</v>
      </c>
      <c r="P31" s="12">
        <v>0.3125</v>
      </c>
      <c r="Q31" s="12">
        <f>SUM(J31:P31)</f>
        <v>1.5625</v>
      </c>
      <c r="R31" s="10"/>
      <c r="S31" s="12" t="s">
        <v>26</v>
      </c>
      <c r="T31" s="12" t="s">
        <v>26</v>
      </c>
      <c r="U31" s="12">
        <v>0.3125</v>
      </c>
      <c r="V31" s="12">
        <v>0.3125</v>
      </c>
      <c r="W31" s="12">
        <v>0.3125</v>
      </c>
      <c r="X31" s="12">
        <v>0.3125</v>
      </c>
      <c r="Y31" s="12">
        <v>0.3125</v>
      </c>
      <c r="Z31" s="12">
        <f>SUM(S31:Y31)</f>
        <v>1.5625</v>
      </c>
      <c r="AB31" s="66" t="s">
        <v>38</v>
      </c>
      <c r="AC31" s="66"/>
      <c r="AD31" s="66"/>
      <c r="AE31" s="54">
        <v>0.3125</v>
      </c>
      <c r="AF31" s="57" t="s">
        <v>42</v>
      </c>
    </row>
    <row r="32" spans="1:32" ht="18.75" customHeight="1">
      <c r="A32" s="9">
        <v>45494</v>
      </c>
      <c r="B32" s="11">
        <v>45495</v>
      </c>
      <c r="C32" s="11">
        <v>45496</v>
      </c>
      <c r="D32" s="11">
        <v>45497</v>
      </c>
      <c r="E32" s="11">
        <v>45498</v>
      </c>
      <c r="F32" s="11">
        <v>45499</v>
      </c>
      <c r="G32" s="8">
        <v>45500</v>
      </c>
      <c r="H32" s="11"/>
      <c r="I32" s="10"/>
      <c r="J32" s="9">
        <v>45522</v>
      </c>
      <c r="K32" s="11">
        <v>45523</v>
      </c>
      <c r="L32" s="11">
        <v>45524</v>
      </c>
      <c r="M32" s="11">
        <v>45525</v>
      </c>
      <c r="N32" s="11">
        <v>45526</v>
      </c>
      <c r="O32" s="11">
        <v>45527</v>
      </c>
      <c r="P32" s="8">
        <v>45528</v>
      </c>
      <c r="Q32" s="11"/>
      <c r="R32" s="10"/>
      <c r="S32" s="9">
        <v>45557</v>
      </c>
      <c r="T32" s="9">
        <v>45558</v>
      </c>
      <c r="U32" s="11">
        <v>45559</v>
      </c>
      <c r="V32" s="11">
        <v>45560</v>
      </c>
      <c r="W32" s="11">
        <v>45561</v>
      </c>
      <c r="X32" s="11">
        <v>45562</v>
      </c>
      <c r="Y32" s="8">
        <v>45563</v>
      </c>
      <c r="Z32" s="11"/>
      <c r="AB32" s="66"/>
      <c r="AC32" s="66"/>
      <c r="AD32" s="66"/>
      <c r="AE32" s="54"/>
      <c r="AF32" s="57"/>
    </row>
    <row r="33" spans="1:32" ht="16.5" customHeight="1">
      <c r="A33" s="12" t="s">
        <v>26</v>
      </c>
      <c r="B33" s="12">
        <v>0.3125</v>
      </c>
      <c r="C33" s="12">
        <v>0.3125</v>
      </c>
      <c r="D33" s="12">
        <v>0.3125</v>
      </c>
      <c r="E33" s="12">
        <v>0.3125</v>
      </c>
      <c r="F33" s="12">
        <v>0.3125</v>
      </c>
      <c r="G33" s="12" t="s">
        <v>26</v>
      </c>
      <c r="H33" s="12">
        <f>SUM(A33:G33)</f>
        <v>1.5625</v>
      </c>
      <c r="I33" s="10"/>
      <c r="J33" s="12" t="s">
        <v>26</v>
      </c>
      <c r="K33" s="12">
        <v>0.3125</v>
      </c>
      <c r="L33" s="12">
        <v>0.3125</v>
      </c>
      <c r="M33" s="12">
        <v>0.3125</v>
      </c>
      <c r="N33" s="12">
        <v>0.3125</v>
      </c>
      <c r="O33" s="12">
        <v>0.3125</v>
      </c>
      <c r="P33" s="12" t="s">
        <v>26</v>
      </c>
      <c r="Q33" s="12">
        <f>SUM(J33:P33)</f>
        <v>1.5625</v>
      </c>
      <c r="R33" s="10"/>
      <c r="S33" s="12" t="s">
        <v>29</v>
      </c>
      <c r="T33" s="12" t="s">
        <v>26</v>
      </c>
      <c r="U33" s="12">
        <v>0.3125</v>
      </c>
      <c r="V33" s="12">
        <v>0.3125</v>
      </c>
      <c r="W33" s="12">
        <v>0.3125</v>
      </c>
      <c r="X33" s="12">
        <v>0.3125</v>
      </c>
      <c r="Y33" s="12" t="s">
        <v>26</v>
      </c>
      <c r="Z33" s="12">
        <f>SUM(S33:Y33)</f>
        <v>1.25</v>
      </c>
      <c r="AB33" s="66" t="s">
        <v>39</v>
      </c>
      <c r="AC33" s="66"/>
      <c r="AD33" s="66"/>
      <c r="AE33" s="56">
        <v>6</v>
      </c>
      <c r="AF33" s="57" t="s">
        <v>42</v>
      </c>
    </row>
    <row r="34" spans="1:32" ht="16.5" customHeight="1">
      <c r="A34" s="9">
        <v>45501</v>
      </c>
      <c r="B34" s="11">
        <v>45502</v>
      </c>
      <c r="C34" s="11">
        <v>45503</v>
      </c>
      <c r="D34" s="11">
        <v>45504</v>
      </c>
      <c r="E34" s="11"/>
      <c r="F34" s="11"/>
      <c r="G34" s="11"/>
      <c r="H34" s="11"/>
      <c r="I34" s="10"/>
      <c r="J34" s="9">
        <v>45529</v>
      </c>
      <c r="K34" s="11">
        <v>45530</v>
      </c>
      <c r="L34" s="11">
        <v>45531</v>
      </c>
      <c r="M34" s="11">
        <v>45532</v>
      </c>
      <c r="N34" s="11">
        <v>45533</v>
      </c>
      <c r="O34" s="11">
        <v>45534</v>
      </c>
      <c r="P34" s="8">
        <v>45535</v>
      </c>
      <c r="Q34" s="11"/>
      <c r="R34" s="10"/>
      <c r="S34" s="9">
        <v>45564</v>
      </c>
      <c r="T34" s="11">
        <v>45565</v>
      </c>
      <c r="U34" s="11"/>
      <c r="V34" s="11"/>
      <c r="W34" s="11"/>
      <c r="X34" s="11"/>
      <c r="Y34" s="11"/>
      <c r="Z34" s="11"/>
      <c r="AB34" s="66"/>
      <c r="AC34" s="66"/>
      <c r="AD34" s="66"/>
      <c r="AE34" s="56"/>
      <c r="AF34" s="57"/>
    </row>
    <row r="35" spans="1:32">
      <c r="A35" s="12" t="s">
        <v>26</v>
      </c>
      <c r="B35" s="12">
        <v>0.3125</v>
      </c>
      <c r="C35" s="12">
        <v>0.3125</v>
      </c>
      <c r="D35" s="12">
        <v>0.3125</v>
      </c>
      <c r="E35" s="12"/>
      <c r="F35" s="12"/>
      <c r="G35" s="12"/>
      <c r="H35" s="12"/>
      <c r="I35" s="10"/>
      <c r="J35" s="12" t="s">
        <v>26</v>
      </c>
      <c r="K35" s="12">
        <v>0.3125</v>
      </c>
      <c r="L35" s="12">
        <v>0.3125</v>
      </c>
      <c r="M35" s="12">
        <v>0.3125</v>
      </c>
      <c r="N35" s="12">
        <v>0.3125</v>
      </c>
      <c r="O35" s="12">
        <v>0.3125</v>
      </c>
      <c r="P35" s="12">
        <v>0.3125</v>
      </c>
      <c r="Q35" s="12">
        <f>SUM(J35:P35)</f>
        <v>1.875</v>
      </c>
      <c r="R35" s="10"/>
      <c r="S35" s="12" t="s">
        <v>26</v>
      </c>
      <c r="T35" s="12">
        <v>0.3125</v>
      </c>
      <c r="U35" s="12"/>
      <c r="V35" s="12"/>
      <c r="W35" s="12"/>
      <c r="X35" s="12"/>
      <c r="Y35" s="12"/>
      <c r="Z35" s="12"/>
      <c r="AB35" s="66" t="s">
        <v>40</v>
      </c>
      <c r="AC35" s="66"/>
      <c r="AD35" s="66"/>
      <c r="AE35" s="54">
        <v>1.6423611111111112</v>
      </c>
      <c r="AF35" s="57" t="s">
        <v>42</v>
      </c>
    </row>
    <row r="36" spans="1:32">
      <c r="A36" s="11"/>
      <c r="B36" s="11"/>
      <c r="C36" s="11"/>
      <c r="D36" s="11"/>
      <c r="E36" s="11"/>
      <c r="F36" s="11"/>
      <c r="G36" s="11"/>
      <c r="H36" s="4"/>
      <c r="J36" s="11"/>
      <c r="K36" s="11"/>
      <c r="L36" s="11"/>
      <c r="M36" s="11"/>
      <c r="N36" s="11"/>
      <c r="O36" s="11"/>
      <c r="P36" s="11"/>
      <c r="Q36" s="4"/>
      <c r="S36" s="11"/>
      <c r="T36" s="11"/>
      <c r="U36" s="11"/>
      <c r="V36" s="11"/>
      <c r="W36" s="11"/>
      <c r="X36" s="11"/>
      <c r="Y36" s="11"/>
      <c r="Z36" s="4"/>
      <c r="AB36" s="66"/>
      <c r="AC36" s="66"/>
      <c r="AD36" s="66"/>
      <c r="AE36" s="54"/>
      <c r="AF36" s="57"/>
    </row>
    <row r="37" spans="1:32">
      <c r="A37" s="12"/>
      <c r="B37" s="12"/>
      <c r="C37" s="12"/>
      <c r="D37" s="12"/>
      <c r="E37" s="12"/>
      <c r="F37" s="12"/>
      <c r="G37" s="12"/>
      <c r="H37" s="12"/>
      <c r="J37" s="12"/>
      <c r="K37" s="12"/>
      <c r="L37" s="12"/>
      <c r="M37" s="12"/>
      <c r="N37" s="12"/>
      <c r="O37" s="12"/>
      <c r="P37" s="12"/>
      <c r="Q37" s="12"/>
      <c r="S37" s="12"/>
      <c r="T37" s="12"/>
      <c r="U37" s="12"/>
      <c r="V37" s="12"/>
      <c r="W37" s="12"/>
      <c r="X37" s="12"/>
      <c r="Y37" s="12"/>
      <c r="Z37" s="12"/>
      <c r="AB37" s="66" t="s">
        <v>41</v>
      </c>
      <c r="AC37" s="66"/>
      <c r="AD37" s="66"/>
      <c r="AE37" s="69">
        <v>0</v>
      </c>
      <c r="AF37" s="57" t="s">
        <v>42</v>
      </c>
    </row>
    <row r="38" spans="1:32">
      <c r="A38" s="50" t="s">
        <v>104</v>
      </c>
      <c r="B38" s="50"/>
      <c r="C38" s="50"/>
      <c r="D38" s="50"/>
      <c r="E38" s="50"/>
      <c r="F38" s="50"/>
      <c r="G38" s="50"/>
      <c r="H38" s="50"/>
      <c r="J38" s="50" t="s">
        <v>105</v>
      </c>
      <c r="K38" s="50"/>
      <c r="L38" s="50"/>
      <c r="M38" s="50"/>
      <c r="N38" s="50"/>
      <c r="O38" s="50"/>
      <c r="P38" s="50"/>
      <c r="Q38" s="50"/>
      <c r="S38" s="50" t="s">
        <v>106</v>
      </c>
      <c r="T38" s="50"/>
      <c r="U38" s="50"/>
      <c r="V38" s="50"/>
      <c r="W38" s="50"/>
      <c r="X38" s="50"/>
      <c r="Y38" s="50"/>
      <c r="Z38" s="50"/>
      <c r="AB38" s="66"/>
      <c r="AC38" s="66"/>
      <c r="AD38" s="66"/>
      <c r="AE38" s="69"/>
      <c r="AF38" s="57"/>
    </row>
    <row r="39" spans="1:32">
      <c r="A39" s="52"/>
      <c r="B39" s="52"/>
      <c r="C39" s="52"/>
      <c r="D39" s="52"/>
      <c r="E39" s="52"/>
      <c r="F39" s="52"/>
      <c r="G39" s="52"/>
      <c r="H39" s="52"/>
      <c r="J39" s="52"/>
      <c r="K39" s="52"/>
      <c r="L39" s="52"/>
      <c r="M39" s="52"/>
      <c r="N39" s="52"/>
      <c r="O39" s="52"/>
      <c r="P39" s="52"/>
      <c r="Q39" s="52"/>
      <c r="S39" s="52"/>
      <c r="T39" s="52"/>
      <c r="U39" s="52"/>
      <c r="V39" s="52"/>
      <c r="W39" s="52"/>
      <c r="X39" s="52"/>
      <c r="Y39" s="52"/>
      <c r="Z39" s="52"/>
      <c r="AB39" s="66" t="s">
        <v>46</v>
      </c>
      <c r="AC39" s="66"/>
      <c r="AD39" s="66"/>
      <c r="AE39" s="69">
        <v>0</v>
      </c>
      <c r="AF39" s="57" t="s">
        <v>42</v>
      </c>
    </row>
    <row r="40" spans="1:32">
      <c r="A40" s="3" t="s">
        <v>24</v>
      </c>
      <c r="B40" s="3" t="s">
        <v>25</v>
      </c>
      <c r="C40" s="3" t="s">
        <v>0</v>
      </c>
      <c r="D40" s="3" t="s">
        <v>1</v>
      </c>
      <c r="E40" s="3" t="s">
        <v>2</v>
      </c>
      <c r="F40" s="3" t="s">
        <v>3</v>
      </c>
      <c r="G40" s="3" t="s">
        <v>4</v>
      </c>
      <c r="H40" s="3" t="s">
        <v>28</v>
      </c>
      <c r="J40" s="3" t="s">
        <v>24</v>
      </c>
      <c r="K40" s="3" t="s">
        <v>25</v>
      </c>
      <c r="L40" s="3" t="s">
        <v>0</v>
      </c>
      <c r="M40" s="3" t="s">
        <v>1</v>
      </c>
      <c r="N40" s="3" t="s">
        <v>2</v>
      </c>
      <c r="O40" s="3" t="s">
        <v>3</v>
      </c>
      <c r="P40" s="3" t="s">
        <v>4</v>
      </c>
      <c r="Q40" s="3" t="s">
        <v>28</v>
      </c>
      <c r="S40" s="3" t="s">
        <v>24</v>
      </c>
      <c r="T40" s="3" t="s">
        <v>25</v>
      </c>
      <c r="U40" s="3" t="s">
        <v>0</v>
      </c>
      <c r="V40" s="3" t="s">
        <v>1</v>
      </c>
      <c r="W40" s="3" t="s">
        <v>2</v>
      </c>
      <c r="X40" s="3" t="s">
        <v>3</v>
      </c>
      <c r="Y40" s="3" t="s">
        <v>4</v>
      </c>
      <c r="Z40" s="3" t="s">
        <v>28</v>
      </c>
      <c r="AB40" s="66"/>
      <c r="AC40" s="66"/>
      <c r="AD40" s="66"/>
      <c r="AE40" s="69"/>
      <c r="AF40" s="57"/>
    </row>
    <row r="41" spans="1:32">
      <c r="A41" s="11"/>
      <c r="B41" s="11"/>
      <c r="C41" s="11">
        <v>45566</v>
      </c>
      <c r="D41" s="11">
        <v>45567</v>
      </c>
      <c r="E41" s="11">
        <v>45568</v>
      </c>
      <c r="F41" s="11">
        <v>45569</v>
      </c>
      <c r="G41" s="8">
        <v>45570</v>
      </c>
      <c r="H41" s="11"/>
      <c r="J41" s="11"/>
      <c r="K41" s="11"/>
      <c r="L41" s="11"/>
      <c r="M41" s="11"/>
      <c r="N41" s="11"/>
      <c r="O41" s="11">
        <v>45597</v>
      </c>
      <c r="P41" s="8">
        <v>45598</v>
      </c>
      <c r="Q41" s="11"/>
      <c r="S41" s="9">
        <v>45627</v>
      </c>
      <c r="T41" s="11">
        <v>45628</v>
      </c>
      <c r="U41" s="11">
        <v>45629</v>
      </c>
      <c r="V41" s="11">
        <v>45630</v>
      </c>
      <c r="W41" s="11">
        <v>45631</v>
      </c>
      <c r="X41" s="11">
        <v>45632</v>
      </c>
      <c r="Y41" s="8">
        <v>45633</v>
      </c>
      <c r="Z41" s="11"/>
    </row>
    <row r="42" spans="1:32" ht="16.5" customHeight="1">
      <c r="A42" s="12"/>
      <c r="B42" s="12"/>
      <c r="C42" s="12">
        <v>0.3125</v>
      </c>
      <c r="D42" s="12">
        <v>0.3125</v>
      </c>
      <c r="E42" s="12">
        <v>0.3125</v>
      </c>
      <c r="F42" s="12">
        <v>0.3125</v>
      </c>
      <c r="G42" s="12">
        <v>0.3125</v>
      </c>
      <c r="H42" s="12">
        <f>SUM(A42:G42,S35:Y35)</f>
        <v>1.875</v>
      </c>
      <c r="J42" s="12"/>
      <c r="K42" s="12"/>
      <c r="L42" s="12"/>
      <c r="M42" s="12"/>
      <c r="N42" s="12"/>
      <c r="O42" s="12">
        <v>0.3125</v>
      </c>
      <c r="P42" s="12">
        <v>0.3125</v>
      </c>
      <c r="Q42" s="12">
        <f>SUM(J42:P42,A50:G50)</f>
        <v>1.875</v>
      </c>
      <c r="S42" s="12" t="s">
        <v>26</v>
      </c>
      <c r="T42" s="12">
        <v>0.3125</v>
      </c>
      <c r="U42" s="12">
        <v>0.3125</v>
      </c>
      <c r="V42" s="12">
        <v>0.3125</v>
      </c>
      <c r="W42" s="12">
        <v>0.3125</v>
      </c>
      <c r="X42" s="12">
        <v>0.3125</v>
      </c>
      <c r="Y42" s="12">
        <v>0.3125</v>
      </c>
      <c r="Z42" s="12">
        <f>SUM(S42:Y42)</f>
        <v>1.875</v>
      </c>
    </row>
    <row r="43" spans="1:32" ht="16.5" customHeight="1">
      <c r="A43" s="9">
        <v>45571</v>
      </c>
      <c r="B43" s="11">
        <v>45572</v>
      </c>
      <c r="C43" s="11">
        <v>45573</v>
      </c>
      <c r="D43" s="11">
        <v>45574</v>
      </c>
      <c r="E43" s="11">
        <v>45575</v>
      </c>
      <c r="F43" s="11">
        <v>45576</v>
      </c>
      <c r="G43" s="8">
        <v>45577</v>
      </c>
      <c r="H43" s="11"/>
      <c r="I43" s="10"/>
      <c r="J43" s="9">
        <v>45599</v>
      </c>
      <c r="K43" s="9">
        <v>45600</v>
      </c>
      <c r="L43" s="11">
        <v>45601</v>
      </c>
      <c r="M43" s="11">
        <v>45602</v>
      </c>
      <c r="N43" s="11">
        <v>45603</v>
      </c>
      <c r="O43" s="11">
        <v>45604</v>
      </c>
      <c r="P43" s="8">
        <v>45605</v>
      </c>
      <c r="Q43" s="11"/>
      <c r="R43" s="10"/>
      <c r="S43" s="9">
        <v>45634</v>
      </c>
      <c r="T43" s="11">
        <v>45635</v>
      </c>
      <c r="U43" s="11">
        <v>45636</v>
      </c>
      <c r="V43" s="11">
        <v>45637</v>
      </c>
      <c r="W43" s="11">
        <v>45638</v>
      </c>
      <c r="X43" s="11">
        <v>45639</v>
      </c>
      <c r="Y43" s="8">
        <v>45640</v>
      </c>
      <c r="Z43" s="11"/>
    </row>
    <row r="44" spans="1:32" ht="16.5" customHeight="1">
      <c r="A44" s="12" t="s">
        <v>26</v>
      </c>
      <c r="B44" s="12">
        <v>0.3125</v>
      </c>
      <c r="C44" s="12">
        <v>0.3125</v>
      </c>
      <c r="D44" s="12">
        <v>0.3125</v>
      </c>
      <c r="E44" s="12">
        <v>0.3125</v>
      </c>
      <c r="F44" s="12">
        <v>0.3125</v>
      </c>
      <c r="G44" s="12" t="s">
        <v>26</v>
      </c>
      <c r="H44" s="12">
        <f>SUM(A44:G44)</f>
        <v>1.5625</v>
      </c>
      <c r="J44" s="12" t="s">
        <v>29</v>
      </c>
      <c r="K44" s="12" t="s">
        <v>26</v>
      </c>
      <c r="L44" s="12">
        <v>0.3125</v>
      </c>
      <c r="M44" s="12">
        <v>0.3125</v>
      </c>
      <c r="N44" s="12">
        <v>0.3125</v>
      </c>
      <c r="O44" s="12">
        <v>0.3125</v>
      </c>
      <c r="P44" s="12" t="s">
        <v>26</v>
      </c>
      <c r="Q44" s="12">
        <f>SUM(J44:P44)</f>
        <v>1.25</v>
      </c>
      <c r="S44" s="12" t="s">
        <v>26</v>
      </c>
      <c r="T44" s="12">
        <v>0.3125</v>
      </c>
      <c r="U44" s="12">
        <v>0.3125</v>
      </c>
      <c r="V44" s="12">
        <v>0.3125</v>
      </c>
      <c r="W44" s="12">
        <v>0.3125</v>
      </c>
      <c r="X44" s="12">
        <v>0.3125</v>
      </c>
      <c r="Y44" s="12" t="s">
        <v>26</v>
      </c>
      <c r="Z44" s="12">
        <f>SUM(S44:Y44)</f>
        <v>1.5625</v>
      </c>
    </row>
    <row r="45" spans="1:32" ht="16.5" customHeight="1">
      <c r="A45" s="9">
        <v>45578</v>
      </c>
      <c r="B45" s="9">
        <v>45579</v>
      </c>
      <c r="C45" s="11">
        <v>45580</v>
      </c>
      <c r="D45" s="11">
        <v>45581</v>
      </c>
      <c r="E45" s="11">
        <v>45582</v>
      </c>
      <c r="F45" s="11">
        <v>45583</v>
      </c>
      <c r="G45" s="8">
        <v>45584</v>
      </c>
      <c r="H45" s="11"/>
      <c r="I45" s="10"/>
      <c r="J45" s="9">
        <v>45606</v>
      </c>
      <c r="K45" s="11">
        <v>45607</v>
      </c>
      <c r="L45" s="11">
        <v>45608</v>
      </c>
      <c r="M45" s="11">
        <v>45609</v>
      </c>
      <c r="N45" s="11">
        <v>45610</v>
      </c>
      <c r="O45" s="11">
        <v>45611</v>
      </c>
      <c r="P45" s="8">
        <v>45612</v>
      </c>
      <c r="Q45" s="11"/>
      <c r="R45" s="10"/>
      <c r="S45" s="9">
        <v>45641</v>
      </c>
      <c r="T45" s="11">
        <v>45642</v>
      </c>
      <c r="U45" s="11">
        <v>45643</v>
      </c>
      <c r="V45" s="11">
        <v>45644</v>
      </c>
      <c r="W45" s="11">
        <v>45645</v>
      </c>
      <c r="X45" s="11">
        <v>45646</v>
      </c>
      <c r="Y45" s="8">
        <v>45647</v>
      </c>
      <c r="Z45" s="11"/>
    </row>
    <row r="46" spans="1:32" ht="16.5" customHeight="1">
      <c r="A46" s="12" t="s">
        <v>26</v>
      </c>
      <c r="B46" s="12" t="s">
        <v>26</v>
      </c>
      <c r="C46" s="12">
        <v>0.3125</v>
      </c>
      <c r="D46" s="12">
        <v>0.3125</v>
      </c>
      <c r="E46" s="12">
        <v>0.3125</v>
      </c>
      <c r="F46" s="12">
        <v>0.3125</v>
      </c>
      <c r="G46" s="12">
        <v>0.3125</v>
      </c>
      <c r="H46" s="12">
        <f>SUM(A46:G46)</f>
        <v>1.5625</v>
      </c>
      <c r="J46" s="12" t="s">
        <v>26</v>
      </c>
      <c r="K46" s="12">
        <v>0.3125</v>
      </c>
      <c r="L46" s="12">
        <v>0.3125</v>
      </c>
      <c r="M46" s="12">
        <v>0.3125</v>
      </c>
      <c r="N46" s="12">
        <v>0.3125</v>
      </c>
      <c r="O46" s="12">
        <v>0.3125</v>
      </c>
      <c r="P46" s="12">
        <v>0.3125</v>
      </c>
      <c r="Q46" s="12">
        <f>SUM(J46:P46)</f>
        <v>1.875</v>
      </c>
      <c r="S46" s="12" t="s">
        <v>26</v>
      </c>
      <c r="T46" s="12">
        <v>0.3125</v>
      </c>
      <c r="U46" s="12">
        <v>0.3125</v>
      </c>
      <c r="V46" s="12">
        <v>0.3125</v>
      </c>
      <c r="W46" s="12">
        <v>0.3125</v>
      </c>
      <c r="X46" s="12">
        <v>0.3125</v>
      </c>
      <c r="Y46" s="12">
        <v>0.3125</v>
      </c>
      <c r="Z46" s="12">
        <f>SUM(S46:Y46)</f>
        <v>1.875</v>
      </c>
    </row>
    <row r="47" spans="1:32" ht="16.5" customHeight="1">
      <c r="A47" s="9">
        <v>45585</v>
      </c>
      <c r="B47" s="11">
        <v>45586</v>
      </c>
      <c r="C47" s="11">
        <v>45587</v>
      </c>
      <c r="D47" s="11">
        <v>45588</v>
      </c>
      <c r="E47" s="11">
        <v>45589</v>
      </c>
      <c r="F47" s="11">
        <v>45590</v>
      </c>
      <c r="G47" s="8">
        <v>45591</v>
      </c>
      <c r="H47" s="11"/>
      <c r="I47" s="10"/>
      <c r="J47" s="9">
        <v>45613</v>
      </c>
      <c r="K47" s="11">
        <v>45614</v>
      </c>
      <c r="L47" s="11">
        <v>45615</v>
      </c>
      <c r="M47" s="11">
        <v>45616</v>
      </c>
      <c r="N47" s="11">
        <v>45617</v>
      </c>
      <c r="O47" s="11">
        <v>45618</v>
      </c>
      <c r="P47" s="9">
        <v>45619</v>
      </c>
      <c r="Q47" s="11"/>
      <c r="R47" s="10"/>
      <c r="S47" s="9">
        <v>45648</v>
      </c>
      <c r="T47" s="11">
        <v>45649</v>
      </c>
      <c r="U47" s="11">
        <v>45650</v>
      </c>
      <c r="V47" s="11">
        <v>45651</v>
      </c>
      <c r="W47" s="11">
        <v>45652</v>
      </c>
      <c r="X47" s="11">
        <v>45653</v>
      </c>
      <c r="Y47" s="8">
        <v>45654</v>
      </c>
      <c r="Z47" s="11"/>
    </row>
    <row r="48" spans="1:32">
      <c r="A48" s="12" t="s">
        <v>26</v>
      </c>
      <c r="B48" s="12">
        <v>0.3125</v>
      </c>
      <c r="C48" s="12">
        <v>0.3125</v>
      </c>
      <c r="D48" s="12">
        <v>0.3125</v>
      </c>
      <c r="E48" s="12">
        <v>0.3125</v>
      </c>
      <c r="F48" s="12">
        <v>0.3125</v>
      </c>
      <c r="G48" s="12" t="s">
        <v>26</v>
      </c>
      <c r="H48" s="12">
        <f>SUM(A48:G48)</f>
        <v>1.5625</v>
      </c>
      <c r="J48" s="12" t="s">
        <v>26</v>
      </c>
      <c r="K48" s="12">
        <v>0.3125</v>
      </c>
      <c r="L48" s="12">
        <v>0.3125</v>
      </c>
      <c r="M48" s="12">
        <v>0.3125</v>
      </c>
      <c r="N48" s="12">
        <v>0.3125</v>
      </c>
      <c r="O48" s="12">
        <v>0.3125</v>
      </c>
      <c r="P48" s="12" t="s">
        <v>29</v>
      </c>
      <c r="Q48" s="12">
        <f>SUM(J48:P48)</f>
        <v>1.5625</v>
      </c>
      <c r="S48" s="12" t="s">
        <v>26</v>
      </c>
      <c r="T48" s="12">
        <v>0.3125</v>
      </c>
      <c r="U48" s="12">
        <v>0.3125</v>
      </c>
      <c r="V48" s="12">
        <v>0.3125</v>
      </c>
      <c r="W48" s="12">
        <v>0.3125</v>
      </c>
      <c r="X48" s="12">
        <v>0.3125</v>
      </c>
      <c r="Y48" s="12" t="s">
        <v>26</v>
      </c>
      <c r="Z48" s="12">
        <f>SUM(S48:Y48)</f>
        <v>1.5625</v>
      </c>
    </row>
    <row r="49" spans="1:26">
      <c r="A49" s="9">
        <v>45592</v>
      </c>
      <c r="B49" s="11">
        <v>45593</v>
      </c>
      <c r="C49" s="11">
        <v>45594</v>
      </c>
      <c r="D49" s="11">
        <v>45595</v>
      </c>
      <c r="E49" s="11">
        <v>45596</v>
      </c>
      <c r="F49" s="11"/>
      <c r="G49" s="11"/>
      <c r="H49" s="11"/>
      <c r="I49" s="10"/>
      <c r="J49" s="9">
        <v>45620</v>
      </c>
      <c r="K49" s="11">
        <v>45621</v>
      </c>
      <c r="L49" s="11">
        <v>45622</v>
      </c>
      <c r="M49" s="11">
        <v>45623</v>
      </c>
      <c r="N49" s="11">
        <v>45624</v>
      </c>
      <c r="O49" s="11">
        <v>45625</v>
      </c>
      <c r="P49" s="8">
        <v>45626</v>
      </c>
      <c r="Q49" s="11"/>
      <c r="R49" s="10"/>
      <c r="S49" s="9">
        <v>45655</v>
      </c>
      <c r="T49" s="11">
        <v>45656</v>
      </c>
      <c r="U49" s="11">
        <v>45657</v>
      </c>
      <c r="V49" s="11"/>
      <c r="W49" s="11"/>
      <c r="X49" s="11"/>
      <c r="Y49" s="11"/>
      <c r="Z49" s="11"/>
    </row>
    <row r="50" spans="1:26">
      <c r="A50" s="12" t="s">
        <v>26</v>
      </c>
      <c r="B50" s="12">
        <v>0.3125</v>
      </c>
      <c r="C50" s="12">
        <v>0.3125</v>
      </c>
      <c r="D50" s="12">
        <v>0.3125</v>
      </c>
      <c r="E50" s="12">
        <v>0.3125</v>
      </c>
      <c r="F50" s="12"/>
      <c r="G50" s="12"/>
      <c r="H50" s="12"/>
      <c r="J50" s="12" t="s">
        <v>26</v>
      </c>
      <c r="K50" s="12">
        <v>0.3125</v>
      </c>
      <c r="L50" s="12">
        <v>0.3125</v>
      </c>
      <c r="M50" s="12">
        <v>0.3125</v>
      </c>
      <c r="N50" s="12">
        <v>0.3125</v>
      </c>
      <c r="O50" s="12">
        <v>0.3125</v>
      </c>
      <c r="P50" s="12">
        <v>0.3125</v>
      </c>
      <c r="Q50" s="12">
        <f>SUM(J50:P50)</f>
        <v>1.875</v>
      </c>
      <c r="S50" s="12" t="s">
        <v>26</v>
      </c>
      <c r="T50" s="12">
        <v>0.3125</v>
      </c>
      <c r="U50" s="12">
        <v>0.3125</v>
      </c>
      <c r="V50" s="12"/>
      <c r="W50" s="12"/>
      <c r="X50" s="12"/>
      <c r="Y50" s="12"/>
      <c r="Z50" s="12"/>
    </row>
    <row r="51" spans="1:26">
      <c r="A51" s="11"/>
      <c r="B51" s="11"/>
      <c r="C51" s="11"/>
      <c r="D51" s="11"/>
      <c r="E51" s="11"/>
      <c r="F51" s="11"/>
      <c r="G51" s="11"/>
      <c r="H51" s="4"/>
      <c r="I51" s="10"/>
      <c r="J51" s="11"/>
      <c r="K51" s="11"/>
      <c r="L51" s="11"/>
      <c r="M51" s="11"/>
      <c r="N51" s="11"/>
      <c r="O51" s="11"/>
      <c r="P51" s="11"/>
      <c r="Q51" s="4"/>
      <c r="R51" s="10"/>
      <c r="S51" s="11"/>
      <c r="T51" s="11"/>
      <c r="U51" s="11"/>
      <c r="V51" s="11"/>
      <c r="W51" s="11"/>
      <c r="X51" s="11"/>
      <c r="Y51" s="11"/>
      <c r="Z51" s="4"/>
    </row>
    <row r="52" spans="1:26">
      <c r="A52" s="12"/>
      <c r="B52" s="12"/>
      <c r="C52" s="12"/>
      <c r="D52" s="12"/>
      <c r="E52" s="12"/>
      <c r="F52" s="12"/>
      <c r="G52" s="12"/>
      <c r="H52" s="12"/>
      <c r="J52" s="12"/>
      <c r="K52" s="12"/>
      <c r="L52" s="12"/>
      <c r="M52" s="12"/>
      <c r="N52" s="12"/>
      <c r="O52" s="12"/>
      <c r="P52" s="12"/>
      <c r="Q52" s="12"/>
      <c r="S52" s="12"/>
      <c r="T52" s="12"/>
      <c r="U52" s="12"/>
      <c r="V52" s="12"/>
      <c r="W52" s="12"/>
      <c r="X52" s="12"/>
      <c r="Y52" s="12"/>
      <c r="Z52" s="12"/>
    </row>
    <row r="53" spans="1:26">
      <c r="A53" s="50" t="s">
        <v>107</v>
      </c>
      <c r="B53" s="50"/>
      <c r="C53" s="50"/>
      <c r="D53" s="50"/>
      <c r="E53" s="50"/>
      <c r="F53" s="50"/>
      <c r="G53" s="50"/>
      <c r="H53" s="50"/>
      <c r="J53" s="50" t="s">
        <v>108</v>
      </c>
      <c r="K53" s="50"/>
      <c r="L53" s="50"/>
      <c r="M53" s="50"/>
      <c r="N53" s="50"/>
      <c r="O53" s="50"/>
      <c r="P53" s="50"/>
      <c r="Q53" s="50"/>
      <c r="S53" s="50"/>
      <c r="T53" s="50"/>
      <c r="U53" s="50"/>
      <c r="V53" s="50"/>
      <c r="W53" s="50"/>
      <c r="X53" s="50"/>
      <c r="Y53" s="50"/>
      <c r="Z53" s="50"/>
    </row>
    <row r="54" spans="1:26">
      <c r="A54" s="52"/>
      <c r="B54" s="52"/>
      <c r="C54" s="52"/>
      <c r="D54" s="52"/>
      <c r="E54" s="52"/>
      <c r="F54" s="52"/>
      <c r="G54" s="52"/>
      <c r="H54" s="52"/>
      <c r="J54" s="52"/>
      <c r="K54" s="52"/>
      <c r="L54" s="52"/>
      <c r="M54" s="52"/>
      <c r="N54" s="52"/>
      <c r="O54" s="52"/>
      <c r="P54" s="52"/>
      <c r="Q54" s="52"/>
      <c r="S54" s="52"/>
      <c r="T54" s="52"/>
      <c r="U54" s="52"/>
      <c r="V54" s="52"/>
      <c r="W54" s="52"/>
      <c r="X54" s="52"/>
      <c r="Y54" s="52"/>
      <c r="Z54" s="52"/>
    </row>
    <row r="55" spans="1:26">
      <c r="A55" s="3" t="s">
        <v>24</v>
      </c>
      <c r="B55" s="3" t="s">
        <v>25</v>
      </c>
      <c r="C55" s="3" t="s">
        <v>0</v>
      </c>
      <c r="D55" s="3" t="s">
        <v>1</v>
      </c>
      <c r="E55" s="3" t="s">
        <v>2</v>
      </c>
      <c r="F55" s="3" t="s">
        <v>3</v>
      </c>
      <c r="G55" s="3" t="s">
        <v>4</v>
      </c>
      <c r="H55" s="3" t="s">
        <v>28</v>
      </c>
      <c r="J55" s="3" t="s">
        <v>24</v>
      </c>
      <c r="K55" s="3" t="s">
        <v>25</v>
      </c>
      <c r="L55" s="3" t="s">
        <v>0</v>
      </c>
      <c r="M55" s="3" t="s">
        <v>1</v>
      </c>
      <c r="N55" s="3" t="s">
        <v>2</v>
      </c>
      <c r="O55" s="3" t="s">
        <v>3</v>
      </c>
      <c r="P55" s="3" t="s">
        <v>4</v>
      </c>
      <c r="Q55" s="3" t="s">
        <v>28</v>
      </c>
      <c r="S55" s="3" t="s">
        <v>24</v>
      </c>
      <c r="T55" s="3" t="s">
        <v>25</v>
      </c>
      <c r="U55" s="3" t="s">
        <v>0</v>
      </c>
      <c r="V55" s="3" t="s">
        <v>1</v>
      </c>
      <c r="W55" s="3" t="s">
        <v>2</v>
      </c>
      <c r="X55" s="3" t="s">
        <v>3</v>
      </c>
      <c r="Y55" s="3" t="s">
        <v>4</v>
      </c>
      <c r="Z55" s="3" t="s">
        <v>28</v>
      </c>
    </row>
    <row r="56" spans="1:26">
      <c r="A56" s="11"/>
      <c r="B56" s="11"/>
      <c r="C56" s="11"/>
      <c r="D56" s="9">
        <v>45658</v>
      </c>
      <c r="E56" s="11">
        <v>45659</v>
      </c>
      <c r="F56" s="11">
        <v>45660</v>
      </c>
      <c r="G56" s="8">
        <v>45661</v>
      </c>
      <c r="H56" s="11"/>
      <c r="J56" s="11"/>
      <c r="K56" s="11"/>
      <c r="L56" s="11"/>
      <c r="M56" s="11"/>
      <c r="N56" s="11"/>
      <c r="O56" s="11"/>
      <c r="P56" s="8">
        <v>45689</v>
      </c>
      <c r="Q56" s="11"/>
      <c r="S56" s="11"/>
      <c r="T56" s="11"/>
      <c r="U56" s="11"/>
      <c r="V56" s="11"/>
      <c r="W56" s="11"/>
      <c r="X56" s="11"/>
      <c r="Y56" s="8">
        <v>45717</v>
      </c>
      <c r="Z56" s="11"/>
    </row>
    <row r="57" spans="1:26">
      <c r="A57" s="12"/>
      <c r="B57" s="12"/>
      <c r="C57" s="12"/>
      <c r="D57" s="12" t="s">
        <v>26</v>
      </c>
      <c r="E57" s="12">
        <v>0.3125</v>
      </c>
      <c r="F57" s="12">
        <v>0.3125</v>
      </c>
      <c r="G57" s="12">
        <v>0.3125</v>
      </c>
      <c r="H57" s="12">
        <f>SUM(A57:G57,S50:Y50)</f>
        <v>1.5625</v>
      </c>
      <c r="J57" s="12"/>
      <c r="K57" s="12"/>
      <c r="L57" s="12"/>
      <c r="M57" s="12"/>
      <c r="N57" s="12"/>
      <c r="O57" s="12"/>
      <c r="P57" s="12">
        <v>0.3125</v>
      </c>
      <c r="Q57" s="12">
        <f>SUM(J57:P57,A65:G65)</f>
        <v>1.875</v>
      </c>
      <c r="S57" s="12"/>
      <c r="T57" s="12"/>
      <c r="U57" s="12"/>
      <c r="V57" s="12"/>
      <c r="W57" s="12"/>
      <c r="X57" s="12"/>
      <c r="Y57" s="12">
        <v>0.3125</v>
      </c>
      <c r="Z57" s="12">
        <f>SUM(S57:Y57,J65:P65)</f>
        <v>1.5625</v>
      </c>
    </row>
    <row r="58" spans="1:26">
      <c r="A58" s="9">
        <v>45662</v>
      </c>
      <c r="B58" s="11">
        <v>45663</v>
      </c>
      <c r="C58" s="11">
        <v>45664</v>
      </c>
      <c r="D58" s="11">
        <v>45665</v>
      </c>
      <c r="E58" s="11">
        <v>45666</v>
      </c>
      <c r="F58" s="11">
        <v>45667</v>
      </c>
      <c r="G58" s="8">
        <v>45668</v>
      </c>
      <c r="H58" s="11"/>
      <c r="I58" s="10"/>
      <c r="J58" s="9">
        <v>45690</v>
      </c>
      <c r="K58" s="11">
        <v>45691</v>
      </c>
      <c r="L58" s="11">
        <v>45692</v>
      </c>
      <c r="M58" s="11">
        <v>45693</v>
      </c>
      <c r="N58" s="11">
        <v>45694</v>
      </c>
      <c r="O58" s="11">
        <v>45695</v>
      </c>
      <c r="P58" s="8">
        <v>45696</v>
      </c>
      <c r="Q58" s="11"/>
      <c r="R58" s="10"/>
      <c r="S58" s="9">
        <v>45718</v>
      </c>
      <c r="T58" s="11">
        <v>45719</v>
      </c>
      <c r="U58" s="11">
        <v>45720</v>
      </c>
      <c r="V58" s="11">
        <v>45721</v>
      </c>
      <c r="W58" s="11">
        <v>45722</v>
      </c>
      <c r="X58" s="11">
        <v>45723</v>
      </c>
      <c r="Y58" s="8">
        <v>45724</v>
      </c>
      <c r="Z58" s="11"/>
    </row>
    <row r="59" spans="1:26">
      <c r="A59" s="12" t="s">
        <v>26</v>
      </c>
      <c r="B59" s="12">
        <v>0.3125</v>
      </c>
      <c r="C59" s="12">
        <v>0.3125</v>
      </c>
      <c r="D59" s="12">
        <v>0.3125</v>
      </c>
      <c r="E59" s="12">
        <v>0.3125</v>
      </c>
      <c r="F59" s="12">
        <v>0.3125</v>
      </c>
      <c r="G59" s="12" t="s">
        <v>26</v>
      </c>
      <c r="H59" s="12">
        <f>SUM(A59:G59)</f>
        <v>1.5625</v>
      </c>
      <c r="J59" s="12" t="s">
        <v>26</v>
      </c>
      <c r="K59" s="12">
        <v>0.3125</v>
      </c>
      <c r="L59" s="12">
        <v>0.3125</v>
      </c>
      <c r="M59" s="12">
        <v>0.3125</v>
      </c>
      <c r="N59" s="12">
        <v>0.3125</v>
      </c>
      <c r="O59" s="12">
        <v>0.3125</v>
      </c>
      <c r="P59" s="12" t="s">
        <v>26</v>
      </c>
      <c r="Q59" s="12">
        <f>SUM(J59:P59)</f>
        <v>1.5625</v>
      </c>
      <c r="S59" s="12" t="s">
        <v>26</v>
      </c>
      <c r="T59" s="12">
        <v>0.3125</v>
      </c>
      <c r="U59" s="12">
        <v>0.3125</v>
      </c>
      <c r="V59" s="12">
        <v>0.3125</v>
      </c>
      <c r="W59" s="12">
        <v>0.3125</v>
      </c>
      <c r="X59" s="12">
        <v>0.3125</v>
      </c>
      <c r="Y59" s="12" t="s">
        <v>26</v>
      </c>
      <c r="Z59" s="12">
        <f>SUM(S59:Y59)</f>
        <v>1.5625</v>
      </c>
    </row>
    <row r="60" spans="1:26">
      <c r="A60" s="9">
        <v>45669</v>
      </c>
      <c r="B60" s="9">
        <v>45670</v>
      </c>
      <c r="C60" s="11">
        <v>45671</v>
      </c>
      <c r="D60" s="11">
        <v>45672</v>
      </c>
      <c r="E60" s="11">
        <v>45673</v>
      </c>
      <c r="F60" s="11">
        <v>45674</v>
      </c>
      <c r="G60" s="8">
        <v>45675</v>
      </c>
      <c r="H60" s="11"/>
      <c r="I60" s="10"/>
      <c r="J60" s="9">
        <v>45697</v>
      </c>
      <c r="K60" s="11">
        <v>45698</v>
      </c>
      <c r="L60" s="9">
        <v>45699</v>
      </c>
      <c r="M60" s="11">
        <v>45700</v>
      </c>
      <c r="N60" s="11">
        <v>45701</v>
      </c>
      <c r="O60" s="11">
        <v>45702</v>
      </c>
      <c r="P60" s="8">
        <v>45703</v>
      </c>
      <c r="Q60" s="11"/>
      <c r="R60" s="10"/>
      <c r="S60" s="9">
        <v>45725</v>
      </c>
      <c r="T60" s="11">
        <v>45726</v>
      </c>
      <c r="U60" s="11">
        <v>45727</v>
      </c>
      <c r="V60" s="11">
        <v>45728</v>
      </c>
      <c r="W60" s="11">
        <v>45729</v>
      </c>
      <c r="X60" s="11">
        <v>45730</v>
      </c>
      <c r="Y60" s="8">
        <v>45731</v>
      </c>
      <c r="Z60" s="11"/>
    </row>
    <row r="61" spans="1:26">
      <c r="A61" s="12" t="s">
        <v>26</v>
      </c>
      <c r="B61" s="12" t="s">
        <v>26</v>
      </c>
      <c r="C61" s="12">
        <v>0.3125</v>
      </c>
      <c r="D61" s="12">
        <v>0.3125</v>
      </c>
      <c r="E61" s="12">
        <v>0.3125</v>
      </c>
      <c r="F61" s="12">
        <v>0.3125</v>
      </c>
      <c r="G61" s="12">
        <v>0.3125</v>
      </c>
      <c r="H61" s="12">
        <f>SUM(A61:G61)</f>
        <v>1.5625</v>
      </c>
      <c r="I61" s="10"/>
      <c r="J61" s="12" t="s">
        <v>26</v>
      </c>
      <c r="K61" s="12">
        <v>0.3125</v>
      </c>
      <c r="L61" s="12" t="s">
        <v>26</v>
      </c>
      <c r="M61" s="12">
        <v>0.3125</v>
      </c>
      <c r="N61" s="12">
        <v>0.3125</v>
      </c>
      <c r="O61" s="12">
        <v>0.3125</v>
      </c>
      <c r="P61" s="12">
        <v>0.3125</v>
      </c>
      <c r="Q61" s="12">
        <f>SUM(J61:P61)</f>
        <v>1.5625</v>
      </c>
      <c r="R61" s="10"/>
      <c r="S61" s="12" t="s">
        <v>26</v>
      </c>
      <c r="T61" s="12">
        <v>0.3125</v>
      </c>
      <c r="U61" s="12">
        <v>0.3125</v>
      </c>
      <c r="V61" s="12">
        <v>0.3125</v>
      </c>
      <c r="W61" s="12">
        <v>0.3125</v>
      </c>
      <c r="X61" s="12">
        <v>0.3125</v>
      </c>
      <c r="Y61" s="12">
        <v>0.3125</v>
      </c>
      <c r="Z61" s="12">
        <f>SUM(S61:Y61)</f>
        <v>1.875</v>
      </c>
    </row>
    <row r="62" spans="1:26">
      <c r="A62" s="9">
        <v>45676</v>
      </c>
      <c r="B62" s="11">
        <v>45677</v>
      </c>
      <c r="C62" s="11">
        <v>45678</v>
      </c>
      <c r="D62" s="11">
        <v>45679</v>
      </c>
      <c r="E62" s="11">
        <v>45680</v>
      </c>
      <c r="F62" s="11">
        <v>45681</v>
      </c>
      <c r="G62" s="8">
        <v>45682</v>
      </c>
      <c r="H62" s="11"/>
      <c r="I62" s="10"/>
      <c r="J62" s="9">
        <v>45704</v>
      </c>
      <c r="K62" s="11">
        <v>45705</v>
      </c>
      <c r="L62" s="11">
        <v>45706</v>
      </c>
      <c r="M62" s="11">
        <v>45707</v>
      </c>
      <c r="N62" s="11">
        <v>45708</v>
      </c>
      <c r="O62" s="11">
        <v>45709</v>
      </c>
      <c r="P62" s="8">
        <v>45710</v>
      </c>
      <c r="Q62" s="11"/>
      <c r="R62" s="10"/>
      <c r="S62" s="9">
        <v>45732</v>
      </c>
      <c r="T62" s="11">
        <v>45733</v>
      </c>
      <c r="U62" s="11">
        <v>45734</v>
      </c>
      <c r="V62" s="11">
        <v>45735</v>
      </c>
      <c r="W62" s="9">
        <v>45736</v>
      </c>
      <c r="X62" s="11">
        <v>45737</v>
      </c>
      <c r="Y62" s="8">
        <v>45738</v>
      </c>
      <c r="Z62" s="11"/>
    </row>
    <row r="63" spans="1:26" ht="16.5" customHeight="1">
      <c r="A63" s="12" t="s">
        <v>26</v>
      </c>
      <c r="B63" s="12">
        <v>0.3125</v>
      </c>
      <c r="C63" s="12">
        <v>0.3125</v>
      </c>
      <c r="D63" s="12">
        <v>0.3125</v>
      </c>
      <c r="E63" s="12">
        <v>0.3125</v>
      </c>
      <c r="F63" s="12">
        <v>0.3125</v>
      </c>
      <c r="G63" s="12" t="s">
        <v>26</v>
      </c>
      <c r="H63" s="12">
        <f>SUM(A63:G63)</f>
        <v>1.5625</v>
      </c>
      <c r="I63"/>
      <c r="J63" s="12" t="s">
        <v>26</v>
      </c>
      <c r="K63" s="12">
        <v>0.3125</v>
      </c>
      <c r="L63" s="12">
        <v>0.3125</v>
      </c>
      <c r="M63" s="12">
        <v>0.3125</v>
      </c>
      <c r="N63" s="12">
        <v>0.3125</v>
      </c>
      <c r="O63" s="12">
        <v>0.3125</v>
      </c>
      <c r="P63" s="12" t="s">
        <v>26</v>
      </c>
      <c r="Q63" s="12">
        <f>SUM(J63:P63)</f>
        <v>1.5625</v>
      </c>
      <c r="R63" s="10"/>
      <c r="S63" s="12" t="s">
        <v>26</v>
      </c>
      <c r="T63" s="12">
        <v>0.3125</v>
      </c>
      <c r="U63" s="12">
        <v>0.3125</v>
      </c>
      <c r="V63" s="12">
        <v>0.3125</v>
      </c>
      <c r="W63" s="12" t="s">
        <v>26</v>
      </c>
      <c r="X63" s="12">
        <v>0.3125</v>
      </c>
      <c r="Y63" s="12" t="s">
        <v>26</v>
      </c>
      <c r="Z63" s="12">
        <f>SUM(S63:Y63)</f>
        <v>1.25</v>
      </c>
    </row>
    <row r="64" spans="1:26" ht="16.5" customHeight="1">
      <c r="A64" s="9">
        <v>45683</v>
      </c>
      <c r="B64" s="11">
        <v>45684</v>
      </c>
      <c r="C64" s="11">
        <v>45685</v>
      </c>
      <c r="D64" s="11">
        <v>45686</v>
      </c>
      <c r="E64" s="11">
        <v>45687</v>
      </c>
      <c r="F64" s="11">
        <v>45688</v>
      </c>
      <c r="G64" s="11"/>
      <c r="H64" s="11"/>
      <c r="I64"/>
      <c r="J64" s="9">
        <v>45711</v>
      </c>
      <c r="K64" s="9">
        <v>45712</v>
      </c>
      <c r="L64" s="11">
        <v>45713</v>
      </c>
      <c r="M64" s="11">
        <v>45714</v>
      </c>
      <c r="N64" s="11">
        <v>45715</v>
      </c>
      <c r="O64" s="11">
        <v>45716</v>
      </c>
      <c r="P64" s="11"/>
      <c r="Q64" s="11"/>
      <c r="R64" s="10"/>
      <c r="S64" s="9">
        <v>45739</v>
      </c>
      <c r="T64" s="11">
        <v>45740</v>
      </c>
      <c r="U64" s="11">
        <v>45741</v>
      </c>
      <c r="V64" s="11">
        <v>45742</v>
      </c>
      <c r="W64" s="11">
        <v>45743</v>
      </c>
      <c r="X64" s="11">
        <v>45744</v>
      </c>
      <c r="Y64" s="8">
        <v>45745</v>
      </c>
      <c r="Z64" s="11"/>
    </row>
    <row r="65" spans="1:26" ht="16.5" customHeight="1">
      <c r="A65" s="12" t="s">
        <v>26</v>
      </c>
      <c r="B65" s="12">
        <v>0.3125</v>
      </c>
      <c r="C65" s="12">
        <v>0.3125</v>
      </c>
      <c r="D65" s="12">
        <v>0.3125</v>
      </c>
      <c r="E65" s="12">
        <v>0.3125</v>
      </c>
      <c r="F65" s="12">
        <v>0.3125</v>
      </c>
      <c r="G65" s="12"/>
      <c r="H65" s="12"/>
      <c r="I65"/>
      <c r="J65" s="12" t="s">
        <v>29</v>
      </c>
      <c r="K65" s="12" t="s">
        <v>26</v>
      </c>
      <c r="L65" s="12">
        <v>0.3125</v>
      </c>
      <c r="M65" s="12">
        <v>0.3125</v>
      </c>
      <c r="N65" s="12">
        <v>0.3125</v>
      </c>
      <c r="O65" s="12">
        <v>0.3125</v>
      </c>
      <c r="P65" s="12"/>
      <c r="Q65" s="12"/>
      <c r="R65" s="10"/>
      <c r="S65" s="12" t="s">
        <v>26</v>
      </c>
      <c r="T65" s="12">
        <v>0.3125</v>
      </c>
      <c r="U65" s="12">
        <v>0.3125</v>
      </c>
      <c r="V65" s="12">
        <v>0.3125</v>
      </c>
      <c r="W65" s="12">
        <v>0.3125</v>
      </c>
      <c r="X65" s="12">
        <v>0.3125</v>
      </c>
      <c r="Y65" s="12">
        <v>0.3125</v>
      </c>
      <c r="Z65" s="12">
        <f>SUM(S65:Y65)</f>
        <v>1.875</v>
      </c>
    </row>
    <row r="66" spans="1:26" ht="16.5" customHeight="1">
      <c r="A66" s="11"/>
      <c r="B66" s="11"/>
      <c r="C66" s="11"/>
      <c r="D66" s="11"/>
      <c r="E66" s="11"/>
      <c r="F66" s="11"/>
      <c r="G66" s="11"/>
      <c r="H66" s="4"/>
      <c r="I66"/>
      <c r="J66" s="11"/>
      <c r="K66" s="11"/>
      <c r="L66" s="11"/>
      <c r="M66" s="11"/>
      <c r="N66" s="11"/>
      <c r="O66" s="11"/>
      <c r="P66" s="11"/>
      <c r="Q66" s="4"/>
      <c r="S66" s="9">
        <v>45746</v>
      </c>
      <c r="T66" s="11">
        <v>45747</v>
      </c>
      <c r="U66" s="11"/>
      <c r="V66" s="11"/>
      <c r="W66" s="11"/>
      <c r="X66" s="11"/>
      <c r="Y66" s="11"/>
      <c r="Z66" s="4"/>
    </row>
    <row r="67" spans="1:26" ht="16.5" customHeight="1">
      <c r="A67" s="12"/>
      <c r="B67" s="12"/>
      <c r="C67" s="12"/>
      <c r="D67" s="12"/>
      <c r="E67" s="12"/>
      <c r="F67" s="12"/>
      <c r="G67" s="12"/>
      <c r="H67" s="12"/>
      <c r="I67"/>
      <c r="J67" s="12"/>
      <c r="K67" s="12"/>
      <c r="L67" s="12"/>
      <c r="M67" s="12"/>
      <c r="N67" s="12"/>
      <c r="O67" s="12"/>
      <c r="P67" s="12"/>
      <c r="Q67" s="12"/>
      <c r="R67" s="10"/>
      <c r="S67" s="12" t="s">
        <v>26</v>
      </c>
      <c r="T67" s="12">
        <v>0.3125</v>
      </c>
      <c r="U67" s="12"/>
      <c r="V67" s="12"/>
      <c r="W67" s="12"/>
      <c r="X67" s="12"/>
      <c r="Y67" s="12"/>
      <c r="Z67" s="12">
        <f>SUM(S67:Y67)</f>
        <v>0.3125</v>
      </c>
    </row>
    <row r="68" spans="1:26" ht="16.5" customHeight="1">
      <c r="A68" s="50" t="s">
        <v>102</v>
      </c>
      <c r="B68" s="50"/>
      <c r="C68" s="50"/>
      <c r="D68" s="50"/>
      <c r="E68" s="50"/>
      <c r="F68" s="50"/>
      <c r="G68" s="50"/>
      <c r="H68" s="50"/>
      <c r="I68"/>
      <c r="J68" s="50" t="s">
        <v>103</v>
      </c>
      <c r="K68" s="50"/>
      <c r="L68" s="50"/>
      <c r="M68" s="50"/>
      <c r="N68" s="50"/>
      <c r="O68" s="50"/>
      <c r="P68" s="50"/>
      <c r="Q68" s="50"/>
      <c r="S68" s="50" t="s">
        <v>76</v>
      </c>
      <c r="T68" s="50"/>
      <c r="U68" s="50"/>
      <c r="V68" s="50"/>
      <c r="W68" s="50"/>
      <c r="X68" s="50"/>
      <c r="Y68" s="50"/>
      <c r="Z68" s="50"/>
    </row>
    <row r="69" spans="1:26" ht="16.5" customHeight="1">
      <c r="A69" s="51"/>
      <c r="B69" s="51"/>
      <c r="C69" s="51"/>
      <c r="D69" s="51"/>
      <c r="E69" s="51"/>
      <c r="F69" s="51"/>
      <c r="G69" s="51"/>
      <c r="H69" s="51"/>
      <c r="I69"/>
      <c r="J69" s="51"/>
      <c r="K69" s="51"/>
      <c r="L69" s="51"/>
      <c r="M69" s="51"/>
      <c r="N69" s="51"/>
      <c r="O69" s="51"/>
      <c r="P69" s="51"/>
      <c r="Q69" s="51"/>
      <c r="S69" s="51"/>
      <c r="T69" s="51"/>
      <c r="U69" s="51"/>
      <c r="V69" s="51"/>
      <c r="W69" s="51"/>
      <c r="X69" s="51"/>
      <c r="Y69" s="51"/>
      <c r="Z69" s="51"/>
    </row>
  </sheetData>
  <mergeCells count="45">
    <mergeCell ref="AF39:AF40"/>
    <mergeCell ref="AF27:AF28"/>
    <mergeCell ref="AF29:AF30"/>
    <mergeCell ref="AF31:AF32"/>
    <mergeCell ref="AF35:AF36"/>
    <mergeCell ref="AF37:AF38"/>
    <mergeCell ref="AB35:AD36"/>
    <mergeCell ref="AB37:AD38"/>
    <mergeCell ref="AB39:AD40"/>
    <mergeCell ref="AB26:AD26"/>
    <mergeCell ref="AE27:AE28"/>
    <mergeCell ref="AE29:AE30"/>
    <mergeCell ref="AE31:AE32"/>
    <mergeCell ref="AE35:AE36"/>
    <mergeCell ref="AE37:AE38"/>
    <mergeCell ref="AE39:AE40"/>
    <mergeCell ref="AB33:AD34"/>
    <mergeCell ref="AB27:AD28"/>
    <mergeCell ref="AB29:AD30"/>
    <mergeCell ref="AB31:AD32"/>
    <mergeCell ref="D3:H3"/>
    <mergeCell ref="D2:H2"/>
    <mergeCell ref="D1:H1"/>
    <mergeCell ref="AE33:AE34"/>
    <mergeCell ref="AF33:AF34"/>
    <mergeCell ref="S2:U3"/>
    <mergeCell ref="S4:U5"/>
    <mergeCell ref="S6:U7"/>
    <mergeCell ref="V2:AC3"/>
    <mergeCell ref="V4:AC5"/>
    <mergeCell ref="V6:AC7"/>
    <mergeCell ref="A4:H5"/>
    <mergeCell ref="A6:H7"/>
    <mergeCell ref="A23:H24"/>
    <mergeCell ref="J23:Q24"/>
    <mergeCell ref="S23:Z24"/>
    <mergeCell ref="A68:H69"/>
    <mergeCell ref="J68:Q69"/>
    <mergeCell ref="S68:Z69"/>
    <mergeCell ref="A38:H39"/>
    <mergeCell ref="J38:Q39"/>
    <mergeCell ref="S38:Z39"/>
    <mergeCell ref="A53:H54"/>
    <mergeCell ref="J53:Q54"/>
    <mergeCell ref="S53:Z54"/>
  </mergeCells>
  <phoneticPr fontId="1"/>
  <conditionalFormatting sqref="A23 K3:Q8">
    <cfRule type="cellIs" dxfId="59" priority="519" operator="equal">
      <formula>"休"</formula>
    </cfRule>
  </conditionalFormatting>
  <conditionalFormatting sqref="AF27:AF40">
    <cfRule type="cellIs" dxfId="58" priority="97" operator="equal">
      <formula>"×"</formula>
    </cfRule>
    <cfRule type="cellIs" dxfId="57" priority="98" operator="equal">
      <formula>"○"</formula>
    </cfRule>
  </conditionalFormatting>
  <conditionalFormatting sqref="G12">
    <cfRule type="cellIs" dxfId="56" priority="96" operator="equal">
      <formula>"休"</formula>
    </cfRule>
  </conditionalFormatting>
  <conditionalFormatting sqref="S12:Y12">
    <cfRule type="cellIs" dxfId="55" priority="57" operator="equal">
      <formula>"休"</formula>
    </cfRule>
  </conditionalFormatting>
  <conditionalFormatting sqref="P42">
    <cfRule type="cellIs" dxfId="54" priority="64" operator="equal">
      <formula>"休"</formula>
    </cfRule>
  </conditionalFormatting>
  <conditionalFormatting sqref="J27:P27">
    <cfRule type="cellIs" dxfId="53" priority="66" operator="equal">
      <formula>"休"</formula>
    </cfRule>
  </conditionalFormatting>
  <conditionalFormatting sqref="J22:P22 J20:P20 J18:P18 J16:P16 J14:P14">
    <cfRule type="cellIs" dxfId="52" priority="68" operator="equal">
      <formula>"休"</formula>
    </cfRule>
  </conditionalFormatting>
  <conditionalFormatting sqref="J37:P37 J35:P35 J33 J31 J29:P29 P31 P33">
    <cfRule type="cellIs" dxfId="51" priority="65" operator="equal">
      <formula>"休"</formula>
    </cfRule>
  </conditionalFormatting>
  <conditionalFormatting sqref="A42:G42">
    <cfRule type="cellIs" dxfId="50" priority="75" operator="equal">
      <formula>"休"</formula>
    </cfRule>
  </conditionalFormatting>
  <conditionalFormatting sqref="A37:G37 A33:G33 A31:G31 A29:G29 A35:G35">
    <cfRule type="cellIs" dxfId="49" priority="77" operator="equal">
      <formula>"休"</formula>
    </cfRule>
  </conditionalFormatting>
  <conditionalFormatting sqref="J42:P42">
    <cfRule type="cellIs" dxfId="48" priority="63" operator="equal">
      <formula>"休"</formula>
    </cfRule>
  </conditionalFormatting>
  <conditionalFormatting sqref="J52:P52 J50:P50 J48:P48 J46:P46 J44:P44">
    <cfRule type="cellIs" dxfId="47" priority="62" operator="equal">
      <formula>"休"</formula>
    </cfRule>
  </conditionalFormatting>
  <conditionalFormatting sqref="S67:Y67 S65:Y65 S63:Y63 S61:Y61 S59:Y59">
    <cfRule type="cellIs" dxfId="46" priority="47" operator="equal">
      <formula>"休"</formula>
    </cfRule>
  </conditionalFormatting>
  <conditionalFormatting sqref="A12:G12">
    <cfRule type="cellIs" dxfId="45" priority="81" operator="equal">
      <formula>"休"</formula>
    </cfRule>
  </conditionalFormatting>
  <conditionalFormatting sqref="A22:G22 A16:G16 A14:G14 A20:G20 A18:G18">
    <cfRule type="cellIs" dxfId="44" priority="80" operator="equal">
      <formula>"休"</formula>
    </cfRule>
  </conditionalFormatting>
  <conditionalFormatting sqref="G27">
    <cfRule type="cellIs" dxfId="43" priority="79" operator="equal">
      <formula>"休"</formula>
    </cfRule>
  </conditionalFormatting>
  <conditionalFormatting sqref="A27:G27">
    <cfRule type="cellIs" dxfId="42" priority="78" operator="equal">
      <formula>"休"</formula>
    </cfRule>
  </conditionalFormatting>
  <conditionalFormatting sqref="G42">
    <cfRule type="cellIs" dxfId="41" priority="76" operator="equal">
      <formula>"休"</formula>
    </cfRule>
  </conditionalFormatting>
  <conditionalFormatting sqref="A52:G52 A50:G50 B44:F44 A46:G46 A48:G48">
    <cfRule type="cellIs" dxfId="40" priority="74" operator="equal">
      <formula>"休"</formula>
    </cfRule>
  </conditionalFormatting>
  <conditionalFormatting sqref="P12">
    <cfRule type="cellIs" dxfId="39" priority="70" operator="equal">
      <formula>"休"</formula>
    </cfRule>
  </conditionalFormatting>
  <conditionalFormatting sqref="J12:P12">
    <cfRule type="cellIs" dxfId="38" priority="69" operator="equal">
      <formula>"休"</formula>
    </cfRule>
  </conditionalFormatting>
  <conditionalFormatting sqref="P27">
    <cfRule type="cellIs" dxfId="37" priority="67" operator="equal">
      <formula>"休"</formula>
    </cfRule>
  </conditionalFormatting>
  <conditionalFormatting sqref="S22:Y22 S20:W20 S18:Y18 S16:Y16 S14:Y14 Y20">
    <cfRule type="cellIs" dxfId="36" priority="56" operator="equal">
      <formula>"休"</formula>
    </cfRule>
  </conditionalFormatting>
  <conditionalFormatting sqref="Y27">
    <cfRule type="cellIs" dxfId="35" priority="55" operator="equal">
      <formula>"休"</formula>
    </cfRule>
  </conditionalFormatting>
  <conditionalFormatting sqref="Y12">
    <cfRule type="cellIs" dxfId="34" priority="58" operator="equal">
      <formula>"休"</formula>
    </cfRule>
  </conditionalFormatting>
  <conditionalFormatting sqref="S27:Y27">
    <cfRule type="cellIs" dxfId="33" priority="54" operator="equal">
      <formula>"休"</formula>
    </cfRule>
  </conditionalFormatting>
  <conditionalFormatting sqref="S29:Y29 S35:Y35 T37:Y37 S31:Y31 T33:Y33">
    <cfRule type="cellIs" dxfId="32" priority="53" operator="equal">
      <formula>"休"</formula>
    </cfRule>
  </conditionalFormatting>
  <conditionalFormatting sqref="Y42">
    <cfRule type="cellIs" dxfId="31" priority="52" operator="equal">
      <formula>"休"</formula>
    </cfRule>
  </conditionalFormatting>
  <conditionalFormatting sqref="S42:Y42">
    <cfRule type="cellIs" dxfId="30" priority="51" operator="equal">
      <formula>"休"</formula>
    </cfRule>
  </conditionalFormatting>
  <conditionalFormatting sqref="S52:Y52 T50:Y50 U46:Y46 S48:Y48 S44:Y44">
    <cfRule type="cellIs" dxfId="29" priority="50" operator="equal">
      <formula>"休"</formula>
    </cfRule>
  </conditionalFormatting>
  <conditionalFormatting sqref="Y57">
    <cfRule type="cellIs" dxfId="28" priority="49" operator="equal">
      <formula>"休"</formula>
    </cfRule>
  </conditionalFormatting>
  <conditionalFormatting sqref="S57:Y57">
    <cfRule type="cellIs" dxfId="27" priority="48" operator="equal">
      <formula>"休"</formula>
    </cfRule>
  </conditionalFormatting>
  <conditionalFormatting sqref="X20">
    <cfRule type="cellIs" dxfId="26" priority="46" operator="equal">
      <formula>"休"</formula>
    </cfRule>
  </conditionalFormatting>
  <conditionalFormatting sqref="K31:O31">
    <cfRule type="cellIs" dxfId="25" priority="45" operator="equal">
      <formula>"休"</formula>
    </cfRule>
  </conditionalFormatting>
  <conditionalFormatting sqref="K33:O33">
    <cfRule type="cellIs" dxfId="24" priority="44" operator="equal">
      <formula>"休"</formula>
    </cfRule>
  </conditionalFormatting>
  <conditionalFormatting sqref="J23">
    <cfRule type="cellIs" dxfId="23" priority="32" operator="equal">
      <formula>"休"</formula>
    </cfRule>
  </conditionalFormatting>
  <conditionalFormatting sqref="S38">
    <cfRule type="cellIs" dxfId="22" priority="30" operator="equal">
      <formula>"休"</formula>
    </cfRule>
  </conditionalFormatting>
  <conditionalFormatting sqref="J38">
    <cfRule type="cellIs" dxfId="21" priority="29" operator="equal">
      <formula>"休"</formula>
    </cfRule>
  </conditionalFormatting>
  <conditionalFormatting sqref="A38">
    <cfRule type="cellIs" dxfId="20" priority="28" operator="equal">
      <formula>"休"</formula>
    </cfRule>
  </conditionalFormatting>
  <conditionalFormatting sqref="A53">
    <cfRule type="cellIs" dxfId="19" priority="27" operator="equal">
      <formula>"休"</formula>
    </cfRule>
  </conditionalFormatting>
  <conditionalFormatting sqref="J53">
    <cfRule type="cellIs" dxfId="18" priority="26" operator="equal">
      <formula>"休"</formula>
    </cfRule>
  </conditionalFormatting>
  <conditionalFormatting sqref="S53">
    <cfRule type="cellIs" dxfId="17" priority="25" operator="equal">
      <formula>"休"</formula>
    </cfRule>
  </conditionalFormatting>
  <conditionalFormatting sqref="P57">
    <cfRule type="cellIs" dxfId="16" priority="16" operator="equal">
      <formula>"休"</formula>
    </cfRule>
  </conditionalFormatting>
  <conditionalFormatting sqref="J57:P57">
    <cfRule type="cellIs" dxfId="15" priority="15" operator="equal">
      <formula>"休"</formula>
    </cfRule>
  </conditionalFormatting>
  <conditionalFormatting sqref="S68">
    <cfRule type="cellIs" dxfId="14" priority="22" operator="equal">
      <formula>"休"</formula>
    </cfRule>
  </conditionalFormatting>
  <conditionalFormatting sqref="S23">
    <cfRule type="cellIs" dxfId="13" priority="21" operator="equal">
      <formula>"休"</formula>
    </cfRule>
  </conditionalFormatting>
  <conditionalFormatting sqref="A57:G57">
    <cfRule type="cellIs" dxfId="12" priority="19" operator="equal">
      <formula>"休"</formula>
    </cfRule>
  </conditionalFormatting>
  <conditionalFormatting sqref="G57">
    <cfRule type="cellIs" dxfId="11" priority="20" operator="equal">
      <formula>"休"</formula>
    </cfRule>
  </conditionalFormatting>
  <conditionalFormatting sqref="A67:G67 A65:G65 A63:G63 A61:G61 A59:G59">
    <cfRule type="cellIs" dxfId="10" priority="18" operator="equal">
      <formula>"休"</formula>
    </cfRule>
  </conditionalFormatting>
  <conditionalFormatting sqref="A68">
    <cfRule type="cellIs" dxfId="9" priority="17" operator="equal">
      <formula>"休"</formula>
    </cfRule>
  </conditionalFormatting>
  <conditionalFormatting sqref="J67:P67 J65:P65 J63:P63 J61:P61 J59:P59">
    <cfRule type="cellIs" dxfId="8" priority="14" operator="equal">
      <formula>"休"</formula>
    </cfRule>
  </conditionalFormatting>
  <conditionalFormatting sqref="J68">
    <cfRule type="cellIs" dxfId="7" priority="13" operator="equal">
      <formula>"休"</formula>
    </cfRule>
  </conditionalFormatting>
  <conditionalFormatting sqref="S33">
    <cfRule type="cellIs" dxfId="6" priority="1" operator="equal">
      <formula>"休"</formula>
    </cfRule>
  </conditionalFormatting>
  <conditionalFormatting sqref="S46">
    <cfRule type="cellIs" dxfId="5" priority="5" operator="equal">
      <formula>"休"</formula>
    </cfRule>
  </conditionalFormatting>
  <conditionalFormatting sqref="A44">
    <cfRule type="cellIs" dxfId="4" priority="8" operator="equal">
      <formula>"休"</formula>
    </cfRule>
  </conditionalFormatting>
  <conditionalFormatting sqref="G44">
    <cfRule type="cellIs" dxfId="3" priority="7" operator="equal">
      <formula>"休"</formula>
    </cfRule>
  </conditionalFormatting>
  <conditionalFormatting sqref="S50">
    <cfRule type="cellIs" dxfId="2" priority="6" operator="equal">
      <formula>"休"</formula>
    </cfRule>
  </conditionalFormatting>
  <conditionalFormatting sqref="T46">
    <cfRule type="cellIs" dxfId="1" priority="4" operator="equal">
      <formula>"休"</formula>
    </cfRule>
  </conditionalFormatting>
  <conditionalFormatting sqref="S37">
    <cfRule type="cellIs" dxfId="0" priority="3" operator="equal">
      <formula>"休"</formula>
    </cfRule>
  </conditionalFormatting>
  <dataValidations count="4">
    <dataValidation type="list" allowBlank="1" showInputMessage="1" showErrorMessage="1" sqref="D3:H3" xr:uid="{F138BDA1-37BB-4C5D-A25B-BBA1375FD840}">
      <formula1>"日曜日,月曜日,火曜日,水曜日,木曜日,金曜日,土曜日,起算日"</formula1>
    </dataValidation>
    <dataValidation type="list" showInputMessage="1" showErrorMessage="1" sqref="K3:K8 L3:Q7" xr:uid="{BDCB3672-AFA0-4958-8279-4285679D7ABF}">
      <formula1>"　,休"</formula1>
    </dataValidation>
    <dataValidation type="time" imeMode="off" operator="lessThanOrEqual" allowBlank="1" showInputMessage="1" showErrorMessage="1" error="10時間以下の時間を入力してください。" sqref="D2:H2" xr:uid="{94536899-AC47-4A3A-AD8E-DBFE50128530}">
      <formula1>0.416666666666667</formula1>
    </dataValidation>
    <dataValidation type="date" imeMode="off" operator="greaterThan" allowBlank="1" showInputMessage="1" showErrorMessage="1" sqref="D1:H1" xr:uid="{B77E1B2B-27A8-45DF-82D0-4E7A7EA2C9D0}">
      <formula1>20090</formula1>
    </dataValidation>
  </dataValidations>
  <pageMargins left="1.1023622047244095" right="0.70866141732283472" top="0.74803149606299213" bottom="0.74803149606299213" header="0.31496062992125984" footer="0.31496062992125984"/>
  <pageSetup paperSize="9" scale="52"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18</xdr:col>
                <xdr:colOff>127000</xdr:colOff>
                <xdr:row>1</xdr:row>
                <xdr:rowOff>50800</xdr:rowOff>
              </from>
              <to>
                <xdr:col>20</xdr:col>
                <xdr:colOff>349250</xdr:colOff>
                <xdr:row>2</xdr:row>
                <xdr:rowOff>146050</xdr:rowOff>
              </to>
            </anchor>
          </controlPr>
        </control>
      </mc:Choice>
      <mc:Fallback>
        <control shapeId="2049" r:id="rId4" name="CommandButton1"/>
      </mc:Fallback>
    </mc:AlternateContent>
    <mc:AlternateContent xmlns:mc="http://schemas.openxmlformats.org/markup-compatibility/2006">
      <mc:Choice Requires="x14">
        <control shapeId="2153" r:id="rId6" name="CommandButton2">
          <controlPr defaultSize="0" autoLine="0" r:id="rId7">
            <anchor moveWithCells="1">
              <from>
                <xdr:col>18</xdr:col>
                <xdr:colOff>127000</xdr:colOff>
                <xdr:row>3</xdr:row>
                <xdr:rowOff>69850</xdr:rowOff>
              </from>
              <to>
                <xdr:col>20</xdr:col>
                <xdr:colOff>349250</xdr:colOff>
                <xdr:row>4</xdr:row>
                <xdr:rowOff>165100</xdr:rowOff>
              </to>
            </anchor>
          </controlPr>
        </control>
      </mc:Choice>
      <mc:Fallback>
        <control shapeId="2153" r:id="rId6" name="CommandButton2"/>
      </mc:Fallback>
    </mc:AlternateContent>
    <mc:AlternateContent xmlns:mc="http://schemas.openxmlformats.org/markup-compatibility/2006">
      <mc:Choice Requires="x14">
        <control shapeId="2155" r:id="rId8" name="CommandButton3">
          <controlPr defaultSize="0" autoLine="0" r:id="rId9">
            <anchor moveWithCells="1">
              <from>
                <xdr:col>18</xdr:col>
                <xdr:colOff>127000</xdr:colOff>
                <xdr:row>5</xdr:row>
                <xdr:rowOff>95250</xdr:rowOff>
              </from>
              <to>
                <xdr:col>20</xdr:col>
                <xdr:colOff>349250</xdr:colOff>
                <xdr:row>6</xdr:row>
                <xdr:rowOff>165100</xdr:rowOff>
              </to>
            </anchor>
          </controlPr>
        </control>
      </mc:Choice>
      <mc:Fallback>
        <control shapeId="2155"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869C7-1379-4030-8B23-A8500B623685}">
  <sheetPr codeName="Sheet1"/>
  <dimension ref="A1:B63"/>
  <sheetViews>
    <sheetView workbookViewId="0">
      <selection activeCell="B38" sqref="B38"/>
    </sheetView>
  </sheetViews>
  <sheetFormatPr defaultRowHeight="18"/>
  <cols>
    <col min="1" max="1" width="7.25" customWidth="1"/>
    <col min="2" max="2" width="96.33203125" customWidth="1"/>
  </cols>
  <sheetData>
    <row r="1" spans="1:2">
      <c r="A1" s="44" t="s">
        <v>51</v>
      </c>
      <c r="B1" s="45"/>
    </row>
    <row r="2" spans="1:2">
      <c r="A2" t="s">
        <v>68</v>
      </c>
    </row>
    <row r="3" spans="1:2">
      <c r="A3" t="s">
        <v>73</v>
      </c>
    </row>
    <row r="4" spans="1:2">
      <c r="A4" t="s">
        <v>72</v>
      </c>
    </row>
    <row r="6" spans="1:2">
      <c r="A6" s="44" t="s">
        <v>48</v>
      </c>
      <c r="B6" s="45"/>
    </row>
    <row r="7" spans="1:2">
      <c r="A7" t="s">
        <v>49</v>
      </c>
    </row>
    <row r="8" spans="1:2">
      <c r="A8" t="s">
        <v>50</v>
      </c>
    </row>
    <row r="9" spans="1:2" ht="18.75" customHeight="1">
      <c r="A9" t="s">
        <v>70</v>
      </c>
      <c r="B9" s="49"/>
    </row>
    <row r="10" spans="1:2" ht="18.75" customHeight="1">
      <c r="A10" t="s">
        <v>71</v>
      </c>
      <c r="B10" s="49"/>
    </row>
    <row r="11" spans="1:2">
      <c r="A11" t="s">
        <v>69</v>
      </c>
    </row>
    <row r="12" spans="1:2">
      <c r="A12" s="46"/>
    </row>
    <row r="13" spans="1:2">
      <c r="A13" s="44" t="s">
        <v>47</v>
      </c>
      <c r="B13" s="45"/>
    </row>
    <row r="14" spans="1:2">
      <c r="A14" t="s">
        <v>52</v>
      </c>
    </row>
    <row r="15" spans="1:2">
      <c r="A15" t="s">
        <v>53</v>
      </c>
    </row>
    <row r="16" spans="1:2">
      <c r="A16" t="s">
        <v>54</v>
      </c>
    </row>
    <row r="17" spans="1:2">
      <c r="A17" t="s">
        <v>74</v>
      </c>
    </row>
    <row r="19" spans="1:2">
      <c r="A19" s="44" t="s">
        <v>55</v>
      </c>
      <c r="B19" s="45"/>
    </row>
    <row r="20" spans="1:2">
      <c r="A20" t="s">
        <v>56</v>
      </c>
    </row>
    <row r="21" spans="1:2">
      <c r="A21" t="s">
        <v>57</v>
      </c>
    </row>
    <row r="22" spans="1:2">
      <c r="A22" t="s">
        <v>58</v>
      </c>
    </row>
    <row r="23" spans="1:2">
      <c r="A23" s="47" t="s">
        <v>59</v>
      </c>
      <c r="B23" t="s">
        <v>60</v>
      </c>
    </row>
    <row r="24" spans="1:2">
      <c r="A24" s="47" t="s">
        <v>61</v>
      </c>
      <c r="B24" t="s">
        <v>62</v>
      </c>
    </row>
    <row r="25" spans="1:2">
      <c r="A25" s="47" t="s">
        <v>63</v>
      </c>
      <c r="B25" s="48" t="s">
        <v>64</v>
      </c>
    </row>
    <row r="27" spans="1:2">
      <c r="A27" s="43" t="s">
        <v>65</v>
      </c>
    </row>
    <row r="28" spans="1:2">
      <c r="A28" s="43" t="s">
        <v>66</v>
      </c>
    </row>
    <row r="29" spans="1:2">
      <c r="A29" t="s">
        <v>67</v>
      </c>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9" customFormat="1"/>
    <row r="50" customFormat="1"/>
    <row r="51" customFormat="1"/>
    <row r="52" customFormat="1"/>
    <row r="53" customFormat="1"/>
    <row r="54" customFormat="1"/>
    <row r="55" customFormat="1"/>
    <row r="57" customFormat="1"/>
    <row r="58" customFormat="1"/>
    <row r="59" customFormat="1"/>
    <row r="60" customFormat="1"/>
    <row r="61" customFormat="1"/>
    <row r="62" customFormat="1"/>
    <row r="63" customFormat="1"/>
  </sheetData>
  <sheetProtection algorithmName="SHA-512" hashValue="oJH9r+VpyS+58odFtIEJqngAbpMM6HXETfEnOr4A0dJ+hCduYinvhKfLQcsQdK64w+dPJzuEqF18DPUBx/XthA==" saltValue="0dx/wutLNRycg0D4T9YEBQ==" spinCount="100000" sheet="1" objects="1" scenarios="1"/>
  <phoneticPr fontId="1"/>
  <hyperlinks>
    <hyperlink ref="B25" r:id="rId1" xr:uid="{B854172A-9BD9-4461-A27F-046D81613BFA}"/>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8F2FD-242B-4B6D-B670-75EA9DE7BC6B}">
  <sheetPr codeName="Sheet2"/>
  <dimension ref="A1:B1014"/>
  <sheetViews>
    <sheetView workbookViewId="0">
      <selection activeCell="D984" sqref="D984"/>
    </sheetView>
  </sheetViews>
  <sheetFormatPr defaultRowHeight="18"/>
  <cols>
    <col min="1" max="1" width="21.33203125" bestFit="1" customWidth="1"/>
  </cols>
  <sheetData>
    <row r="1" spans="1:2">
      <c r="A1" t="s">
        <v>5</v>
      </c>
      <c r="B1" t="s">
        <v>6</v>
      </c>
    </row>
    <row r="2" spans="1:2">
      <c r="A2" s="1">
        <v>45292</v>
      </c>
      <c r="B2" t="s">
        <v>7</v>
      </c>
    </row>
    <row r="3" spans="1:2">
      <c r="A3" s="1">
        <v>45299</v>
      </c>
      <c r="B3" t="s">
        <v>8</v>
      </c>
    </row>
    <row r="4" spans="1:2">
      <c r="A4" s="1">
        <v>45333</v>
      </c>
      <c r="B4" t="s">
        <v>17</v>
      </c>
    </row>
    <row r="5" spans="1:2">
      <c r="A5" s="1">
        <v>45334</v>
      </c>
      <c r="B5" t="s">
        <v>18</v>
      </c>
    </row>
    <row r="6" spans="1:2">
      <c r="A6" s="1">
        <v>45345</v>
      </c>
      <c r="B6" t="s">
        <v>10</v>
      </c>
    </row>
    <row r="7" spans="1:2">
      <c r="A7" s="1">
        <v>45371</v>
      </c>
      <c r="B7" t="s">
        <v>9</v>
      </c>
    </row>
    <row r="8" spans="1:2">
      <c r="A8" s="1">
        <v>45411</v>
      </c>
      <c r="B8" t="s">
        <v>21</v>
      </c>
    </row>
    <row r="9" spans="1:2">
      <c r="A9" s="1">
        <v>45415</v>
      </c>
      <c r="B9" t="s">
        <v>11</v>
      </c>
    </row>
    <row r="10" spans="1:2">
      <c r="A10" s="1">
        <v>45416</v>
      </c>
      <c r="B10" t="s">
        <v>19</v>
      </c>
    </row>
    <row r="11" spans="1:2">
      <c r="A11" s="1">
        <v>45417</v>
      </c>
      <c r="B11" t="s">
        <v>12</v>
      </c>
    </row>
    <row r="12" spans="1:2">
      <c r="A12" s="1">
        <v>45418</v>
      </c>
      <c r="B12" t="s">
        <v>18</v>
      </c>
    </row>
    <row r="13" spans="1:2">
      <c r="A13" s="1">
        <v>45488</v>
      </c>
      <c r="B13" t="s">
        <v>20</v>
      </c>
    </row>
    <row r="14" spans="1:2">
      <c r="A14" s="1">
        <v>45515</v>
      </c>
      <c r="B14" t="s">
        <v>22</v>
      </c>
    </row>
    <row r="15" spans="1:2">
      <c r="A15" s="1">
        <v>45516</v>
      </c>
      <c r="B15" t="s">
        <v>18</v>
      </c>
    </row>
    <row r="16" spans="1:2">
      <c r="A16" s="1">
        <v>45551</v>
      </c>
      <c r="B16" t="s">
        <v>16</v>
      </c>
    </row>
    <row r="17" spans="1:2">
      <c r="A17" s="1">
        <v>45557</v>
      </c>
      <c r="B17" t="s">
        <v>13</v>
      </c>
    </row>
    <row r="18" spans="1:2">
      <c r="A18" s="1">
        <v>45558</v>
      </c>
      <c r="B18" t="s">
        <v>18</v>
      </c>
    </row>
    <row r="19" spans="1:2">
      <c r="A19" s="1">
        <v>45579</v>
      </c>
      <c r="B19" t="s">
        <v>23</v>
      </c>
    </row>
    <row r="20" spans="1:2">
      <c r="A20" s="1">
        <v>45599</v>
      </c>
      <c r="B20" t="s">
        <v>14</v>
      </c>
    </row>
    <row r="21" spans="1:2">
      <c r="A21" s="1">
        <v>45600</v>
      </c>
      <c r="B21" t="s">
        <v>18</v>
      </c>
    </row>
    <row r="22" spans="1:2">
      <c r="A22" s="1">
        <v>45619</v>
      </c>
      <c r="B22" t="s">
        <v>15</v>
      </c>
    </row>
    <row r="23" spans="1:2">
      <c r="A23" s="1">
        <v>45658</v>
      </c>
      <c r="B23" t="s">
        <v>7</v>
      </c>
    </row>
    <row r="24" spans="1:2">
      <c r="A24" s="1">
        <v>45670</v>
      </c>
      <c r="B24" t="s">
        <v>8</v>
      </c>
    </row>
    <row r="25" spans="1:2">
      <c r="A25" s="1">
        <v>45699</v>
      </c>
      <c r="B25" t="s">
        <v>17</v>
      </c>
    </row>
    <row r="26" spans="1:2">
      <c r="A26" s="1">
        <v>45711</v>
      </c>
      <c r="B26" t="s">
        <v>10</v>
      </c>
    </row>
    <row r="27" spans="1:2">
      <c r="A27" s="1">
        <v>45712</v>
      </c>
      <c r="B27" t="s">
        <v>18</v>
      </c>
    </row>
    <row r="28" spans="1:2">
      <c r="A28" s="1">
        <v>45736</v>
      </c>
      <c r="B28" t="s">
        <v>9</v>
      </c>
    </row>
    <row r="29" spans="1:2">
      <c r="A29" s="1">
        <v>45776</v>
      </c>
      <c r="B29" t="s">
        <v>21</v>
      </c>
    </row>
    <row r="30" spans="1:2">
      <c r="A30" s="1">
        <v>45780</v>
      </c>
      <c r="B30" t="s">
        <v>11</v>
      </c>
    </row>
    <row r="31" spans="1:2">
      <c r="A31" s="1">
        <v>45781</v>
      </c>
      <c r="B31" t="s">
        <v>19</v>
      </c>
    </row>
    <row r="32" spans="1:2">
      <c r="A32" s="1">
        <v>45782</v>
      </c>
      <c r="B32" t="s">
        <v>12</v>
      </c>
    </row>
    <row r="33" spans="1:2">
      <c r="A33" s="1">
        <v>45783</v>
      </c>
      <c r="B33" t="s">
        <v>18</v>
      </c>
    </row>
    <row r="34" spans="1:2">
      <c r="A34" s="1">
        <v>45859</v>
      </c>
      <c r="B34" t="s">
        <v>20</v>
      </c>
    </row>
    <row r="35" spans="1:2">
      <c r="A35" s="1">
        <v>45880</v>
      </c>
      <c r="B35" t="s">
        <v>22</v>
      </c>
    </row>
    <row r="36" spans="1:2">
      <c r="A36" s="1"/>
    </row>
    <row r="37" spans="1:2">
      <c r="A37" s="1"/>
    </row>
    <row r="38" spans="1:2">
      <c r="A38" s="1"/>
    </row>
    <row r="39" spans="1:2">
      <c r="A39" s="1"/>
    </row>
    <row r="40" spans="1:2">
      <c r="A40" s="1"/>
    </row>
    <row r="41" spans="1:2">
      <c r="A41" s="1"/>
    </row>
    <row r="42" spans="1:2">
      <c r="A42" s="1"/>
    </row>
    <row r="43" spans="1:2">
      <c r="A43" s="1"/>
    </row>
    <row r="44" spans="1:2">
      <c r="A44" s="1"/>
    </row>
    <row r="45" spans="1:2">
      <c r="A45" s="1"/>
    </row>
    <row r="46" spans="1:2">
      <c r="A46" s="1"/>
    </row>
    <row r="47" spans="1:2">
      <c r="A47" s="1"/>
    </row>
    <row r="48" spans="1:2">
      <c r="A48" s="1"/>
    </row>
    <row r="49" spans="1:1">
      <c r="A49" s="1"/>
    </row>
    <row r="50" spans="1:1">
      <c r="A50" s="1"/>
    </row>
    <row r="51" spans="1:1">
      <c r="A51" s="1"/>
    </row>
    <row r="52" spans="1:1">
      <c r="A52" s="1"/>
    </row>
    <row r="53" spans="1:1">
      <c r="A53" s="1"/>
    </row>
    <row r="54" spans="1:1">
      <c r="A54" s="1"/>
    </row>
    <row r="55" spans="1:1">
      <c r="A55" s="1"/>
    </row>
    <row r="56" spans="1:1">
      <c r="A56" s="1"/>
    </row>
    <row r="57" spans="1:1">
      <c r="A57" s="1"/>
    </row>
    <row r="58" spans="1:1">
      <c r="A58" s="1"/>
    </row>
    <row r="59" spans="1:1">
      <c r="A59" s="1"/>
    </row>
    <row r="60" spans="1:1">
      <c r="A60" s="1"/>
    </row>
    <row r="61" spans="1:1">
      <c r="A61" s="1"/>
    </row>
    <row r="62" spans="1:1">
      <c r="A62" s="1"/>
    </row>
    <row r="63" spans="1:1">
      <c r="A63" s="1"/>
    </row>
    <row r="64" spans="1:1">
      <c r="A64" s="1"/>
    </row>
    <row r="65" spans="1:1">
      <c r="A65" s="1"/>
    </row>
    <row r="66" spans="1:1">
      <c r="A66" s="1"/>
    </row>
    <row r="67" spans="1:1">
      <c r="A67" s="1"/>
    </row>
    <row r="68" spans="1:1">
      <c r="A68" s="1"/>
    </row>
    <row r="69" spans="1:1">
      <c r="A69" s="1"/>
    </row>
    <row r="70" spans="1:1">
      <c r="A70" s="1"/>
    </row>
    <row r="71" spans="1:1">
      <c r="A71" s="1"/>
    </row>
    <row r="72" spans="1:1">
      <c r="A72" s="1"/>
    </row>
    <row r="73" spans="1:1">
      <c r="A73" s="1"/>
    </row>
    <row r="74" spans="1:1">
      <c r="A74" s="1"/>
    </row>
    <row r="75" spans="1:1">
      <c r="A75" s="1"/>
    </row>
    <row r="76" spans="1:1">
      <c r="A76" s="1"/>
    </row>
    <row r="77" spans="1:1">
      <c r="A77" s="1"/>
    </row>
    <row r="78" spans="1:1">
      <c r="A78" s="1"/>
    </row>
    <row r="79" spans="1:1">
      <c r="A79" s="1"/>
    </row>
    <row r="80" spans="1:1">
      <c r="A80" s="1"/>
    </row>
    <row r="81" spans="1:1">
      <c r="A81" s="1"/>
    </row>
    <row r="82" spans="1:1">
      <c r="A82" s="1"/>
    </row>
    <row r="83" spans="1:1">
      <c r="A83" s="1"/>
    </row>
    <row r="84" spans="1:1">
      <c r="A84" s="1"/>
    </row>
    <row r="85" spans="1:1">
      <c r="A85" s="1"/>
    </row>
    <row r="86" spans="1:1">
      <c r="A86" s="1"/>
    </row>
    <row r="87" spans="1:1">
      <c r="A87" s="1"/>
    </row>
    <row r="88" spans="1:1">
      <c r="A88" s="1"/>
    </row>
    <row r="89" spans="1:1">
      <c r="A89" s="1"/>
    </row>
    <row r="90" spans="1:1">
      <c r="A90" s="1"/>
    </row>
    <row r="91" spans="1:1">
      <c r="A91" s="1"/>
    </row>
    <row r="92" spans="1:1">
      <c r="A92" s="1"/>
    </row>
    <row r="93" spans="1:1">
      <c r="A93" s="1"/>
    </row>
    <row r="94" spans="1:1">
      <c r="A94" s="1"/>
    </row>
    <row r="95" spans="1:1">
      <c r="A95" s="1"/>
    </row>
    <row r="96" spans="1:1">
      <c r="A96" s="1"/>
    </row>
    <row r="97" spans="1:1">
      <c r="A97" s="1"/>
    </row>
    <row r="98" spans="1:1">
      <c r="A98" s="1"/>
    </row>
    <row r="99" spans="1:1">
      <c r="A99" s="1"/>
    </row>
    <row r="100" spans="1:1">
      <c r="A100" s="1"/>
    </row>
    <row r="101" spans="1:1">
      <c r="A101" s="1"/>
    </row>
    <row r="102" spans="1:1">
      <c r="A102" s="1"/>
    </row>
    <row r="103" spans="1:1">
      <c r="A103" s="1"/>
    </row>
    <row r="104" spans="1:1">
      <c r="A104" s="1"/>
    </row>
    <row r="105" spans="1:1">
      <c r="A105" s="1"/>
    </row>
    <row r="106" spans="1:1">
      <c r="A106" s="1"/>
    </row>
    <row r="107" spans="1:1">
      <c r="A107" s="1"/>
    </row>
    <row r="108" spans="1:1">
      <c r="A108" s="1"/>
    </row>
    <row r="109" spans="1:1">
      <c r="A109" s="1"/>
    </row>
    <row r="110" spans="1:1">
      <c r="A110" s="1"/>
    </row>
    <row r="111" spans="1:1">
      <c r="A111" s="1"/>
    </row>
    <row r="112" spans="1:1">
      <c r="A112" s="1"/>
    </row>
    <row r="113" spans="1:1">
      <c r="A113" s="1"/>
    </row>
    <row r="114" spans="1:1">
      <c r="A114" s="1"/>
    </row>
    <row r="115" spans="1:1">
      <c r="A115" s="1"/>
    </row>
    <row r="116" spans="1:1">
      <c r="A116" s="1"/>
    </row>
    <row r="117" spans="1:1">
      <c r="A117" s="1"/>
    </row>
    <row r="118" spans="1:1">
      <c r="A118" s="1"/>
    </row>
    <row r="119" spans="1:1">
      <c r="A119" s="1"/>
    </row>
    <row r="120" spans="1:1">
      <c r="A120" s="1"/>
    </row>
    <row r="121" spans="1:1">
      <c r="A121" s="1"/>
    </row>
    <row r="122" spans="1:1">
      <c r="A122" s="1"/>
    </row>
    <row r="123" spans="1:1">
      <c r="A123" s="1"/>
    </row>
    <row r="124" spans="1:1">
      <c r="A124" s="1"/>
    </row>
    <row r="125" spans="1:1">
      <c r="A125" s="1"/>
    </row>
    <row r="126" spans="1:1">
      <c r="A126" s="1"/>
    </row>
    <row r="127" spans="1:1">
      <c r="A127" s="1"/>
    </row>
    <row r="128" spans="1:1">
      <c r="A128" s="1"/>
    </row>
    <row r="129" spans="1:1">
      <c r="A129" s="1"/>
    </row>
    <row r="130" spans="1:1">
      <c r="A130" s="1"/>
    </row>
    <row r="131" spans="1:1">
      <c r="A131" s="1"/>
    </row>
    <row r="132" spans="1:1">
      <c r="A132" s="1"/>
    </row>
    <row r="133" spans="1:1">
      <c r="A133" s="1"/>
    </row>
    <row r="134" spans="1:1">
      <c r="A134" s="1"/>
    </row>
    <row r="135" spans="1:1">
      <c r="A135" s="1"/>
    </row>
    <row r="136" spans="1:1">
      <c r="A136" s="1"/>
    </row>
    <row r="137" spans="1:1">
      <c r="A137" s="1"/>
    </row>
    <row r="138" spans="1:1">
      <c r="A138" s="1"/>
    </row>
    <row r="139" spans="1:1">
      <c r="A139" s="1"/>
    </row>
    <row r="140" spans="1:1">
      <c r="A140" s="1"/>
    </row>
    <row r="141" spans="1:1">
      <c r="A141" s="1"/>
    </row>
    <row r="142" spans="1:1">
      <c r="A142" s="1"/>
    </row>
    <row r="143" spans="1:1">
      <c r="A143" s="1"/>
    </row>
    <row r="144" spans="1:1">
      <c r="A144" s="1"/>
    </row>
    <row r="145" spans="1:1">
      <c r="A145" s="1"/>
    </row>
    <row r="146" spans="1:1">
      <c r="A146" s="1"/>
    </row>
    <row r="147" spans="1:1">
      <c r="A147" s="1"/>
    </row>
    <row r="148" spans="1:1">
      <c r="A148" s="1"/>
    </row>
    <row r="149" spans="1:1">
      <c r="A149" s="1"/>
    </row>
    <row r="150" spans="1:1">
      <c r="A150" s="1"/>
    </row>
    <row r="151" spans="1:1">
      <c r="A151" s="1"/>
    </row>
    <row r="152" spans="1:1">
      <c r="A152" s="1"/>
    </row>
    <row r="153" spans="1:1">
      <c r="A153" s="1"/>
    </row>
    <row r="154" spans="1:1">
      <c r="A154" s="1"/>
    </row>
    <row r="155" spans="1:1">
      <c r="A155" s="1"/>
    </row>
    <row r="156" spans="1:1">
      <c r="A156" s="1"/>
    </row>
    <row r="157" spans="1:1">
      <c r="A157" s="1"/>
    </row>
    <row r="158" spans="1:1">
      <c r="A158" s="1"/>
    </row>
    <row r="159" spans="1:1">
      <c r="A159" s="1"/>
    </row>
    <row r="160" spans="1:1">
      <c r="A160" s="1"/>
    </row>
    <row r="161" spans="1:1">
      <c r="A161" s="1"/>
    </row>
    <row r="162" spans="1:1">
      <c r="A162" s="1"/>
    </row>
    <row r="163" spans="1:1">
      <c r="A163" s="1"/>
    </row>
    <row r="164" spans="1:1">
      <c r="A164" s="1"/>
    </row>
    <row r="165" spans="1:1">
      <c r="A165" s="1"/>
    </row>
    <row r="166" spans="1:1">
      <c r="A166" s="1"/>
    </row>
    <row r="167" spans="1:1">
      <c r="A167" s="1"/>
    </row>
    <row r="168" spans="1:1">
      <c r="A168" s="1"/>
    </row>
    <row r="169" spans="1:1">
      <c r="A169" s="1"/>
    </row>
    <row r="170" spans="1:1">
      <c r="A170" s="1"/>
    </row>
    <row r="171" spans="1:1">
      <c r="A171" s="1"/>
    </row>
    <row r="172" spans="1:1">
      <c r="A172" s="1"/>
    </row>
    <row r="173" spans="1:1">
      <c r="A173" s="1"/>
    </row>
    <row r="174" spans="1:1">
      <c r="A174" s="1"/>
    </row>
    <row r="175" spans="1:1">
      <c r="A175" s="1"/>
    </row>
    <row r="176" spans="1:1">
      <c r="A176" s="1"/>
    </row>
    <row r="177" spans="1:1">
      <c r="A177" s="1"/>
    </row>
    <row r="178" spans="1:1">
      <c r="A178" s="1"/>
    </row>
    <row r="179" spans="1:1">
      <c r="A179" s="1"/>
    </row>
    <row r="180" spans="1:1">
      <c r="A180" s="1"/>
    </row>
    <row r="181" spans="1:1">
      <c r="A181" s="1"/>
    </row>
    <row r="182" spans="1:1">
      <c r="A182" s="1"/>
    </row>
    <row r="183" spans="1:1">
      <c r="A183" s="1"/>
    </row>
    <row r="184" spans="1:1">
      <c r="A184" s="1"/>
    </row>
    <row r="185" spans="1:1">
      <c r="A185" s="1"/>
    </row>
    <row r="186" spans="1:1">
      <c r="A186" s="1"/>
    </row>
    <row r="187" spans="1:1">
      <c r="A187" s="1"/>
    </row>
    <row r="188" spans="1:1">
      <c r="A188" s="1"/>
    </row>
    <row r="189" spans="1:1">
      <c r="A189" s="1"/>
    </row>
    <row r="190" spans="1:1">
      <c r="A190" s="1"/>
    </row>
    <row r="191" spans="1:1">
      <c r="A191" s="1"/>
    </row>
    <row r="192" spans="1:1">
      <c r="A192" s="1"/>
    </row>
    <row r="193" spans="1:1">
      <c r="A193" s="1"/>
    </row>
    <row r="194" spans="1:1">
      <c r="A194" s="1"/>
    </row>
    <row r="195" spans="1:1">
      <c r="A195" s="1"/>
    </row>
    <row r="196" spans="1:1">
      <c r="A196" s="1"/>
    </row>
    <row r="197" spans="1:1">
      <c r="A197" s="1"/>
    </row>
    <row r="198" spans="1:1">
      <c r="A198" s="1"/>
    </row>
    <row r="199" spans="1:1">
      <c r="A199" s="1"/>
    </row>
    <row r="200" spans="1:1">
      <c r="A200" s="1"/>
    </row>
    <row r="201" spans="1:1">
      <c r="A201" s="1"/>
    </row>
    <row r="202" spans="1:1">
      <c r="A202" s="1"/>
    </row>
    <row r="203" spans="1:1">
      <c r="A203" s="1"/>
    </row>
    <row r="204" spans="1:1">
      <c r="A204" s="1"/>
    </row>
    <row r="205" spans="1:1">
      <c r="A205" s="1"/>
    </row>
    <row r="206" spans="1:1">
      <c r="A206" s="1"/>
    </row>
    <row r="207" spans="1:1">
      <c r="A207" s="1"/>
    </row>
    <row r="208" spans="1:1">
      <c r="A208" s="1"/>
    </row>
    <row r="209" spans="1:1">
      <c r="A209" s="1"/>
    </row>
    <row r="210" spans="1:1">
      <c r="A210" s="1"/>
    </row>
    <row r="211" spans="1:1">
      <c r="A211" s="1"/>
    </row>
    <row r="212" spans="1:1">
      <c r="A212" s="1"/>
    </row>
    <row r="213" spans="1:1">
      <c r="A213" s="1"/>
    </row>
    <row r="214" spans="1:1">
      <c r="A214" s="1"/>
    </row>
    <row r="215" spans="1:1">
      <c r="A215" s="1"/>
    </row>
    <row r="216" spans="1:1">
      <c r="A216" s="1"/>
    </row>
    <row r="217" spans="1:1">
      <c r="A217" s="1"/>
    </row>
    <row r="218" spans="1:1">
      <c r="A218" s="1"/>
    </row>
    <row r="219" spans="1:1">
      <c r="A219" s="1"/>
    </row>
    <row r="220" spans="1:1">
      <c r="A220" s="1"/>
    </row>
    <row r="221" spans="1:1">
      <c r="A221" s="1"/>
    </row>
    <row r="222" spans="1:1">
      <c r="A222" s="1"/>
    </row>
    <row r="223" spans="1:1">
      <c r="A223" s="1"/>
    </row>
    <row r="224" spans="1:1">
      <c r="A224" s="1"/>
    </row>
    <row r="225" spans="1:1">
      <c r="A225" s="1"/>
    </row>
    <row r="226" spans="1:1">
      <c r="A226" s="1"/>
    </row>
    <row r="227" spans="1:1">
      <c r="A227" s="1"/>
    </row>
    <row r="228" spans="1:1">
      <c r="A228" s="1"/>
    </row>
    <row r="229" spans="1:1">
      <c r="A229" s="1"/>
    </row>
    <row r="230" spans="1:1">
      <c r="A230" s="1"/>
    </row>
    <row r="231" spans="1:1">
      <c r="A231" s="1"/>
    </row>
    <row r="232" spans="1:1">
      <c r="A232" s="1"/>
    </row>
    <row r="233" spans="1:1">
      <c r="A233" s="1"/>
    </row>
    <row r="234" spans="1:1">
      <c r="A234" s="1"/>
    </row>
    <row r="235" spans="1:1">
      <c r="A235" s="1"/>
    </row>
    <row r="236" spans="1:1">
      <c r="A236" s="1"/>
    </row>
    <row r="237" spans="1:1">
      <c r="A237" s="1"/>
    </row>
    <row r="238" spans="1:1">
      <c r="A238" s="1"/>
    </row>
    <row r="239" spans="1:1">
      <c r="A239" s="1"/>
    </row>
    <row r="240" spans="1:1">
      <c r="A240" s="1"/>
    </row>
    <row r="241" spans="1:1">
      <c r="A241" s="1"/>
    </row>
    <row r="242" spans="1:1">
      <c r="A242" s="1"/>
    </row>
    <row r="243" spans="1:1">
      <c r="A243" s="1"/>
    </row>
    <row r="244" spans="1:1">
      <c r="A244" s="1"/>
    </row>
    <row r="245" spans="1:1">
      <c r="A245" s="1"/>
    </row>
    <row r="246" spans="1:1">
      <c r="A246" s="1"/>
    </row>
    <row r="247" spans="1:1">
      <c r="A247" s="1"/>
    </row>
    <row r="248" spans="1:1">
      <c r="A248" s="1"/>
    </row>
    <row r="249" spans="1:1">
      <c r="A249" s="1"/>
    </row>
    <row r="250" spans="1:1">
      <c r="A250" s="1"/>
    </row>
    <row r="251" spans="1:1">
      <c r="A251" s="1"/>
    </row>
    <row r="252" spans="1:1">
      <c r="A252" s="1"/>
    </row>
    <row r="253" spans="1:1">
      <c r="A253" s="1"/>
    </row>
    <row r="254" spans="1:1">
      <c r="A254" s="1"/>
    </row>
    <row r="255" spans="1:1">
      <c r="A255" s="1"/>
    </row>
    <row r="256" spans="1:1">
      <c r="A256" s="1"/>
    </row>
    <row r="257" spans="1:1">
      <c r="A257" s="1"/>
    </row>
    <row r="258" spans="1:1">
      <c r="A258" s="1"/>
    </row>
    <row r="259" spans="1:1">
      <c r="A259" s="1"/>
    </row>
    <row r="260" spans="1:1">
      <c r="A260" s="1"/>
    </row>
    <row r="261" spans="1:1">
      <c r="A261" s="1"/>
    </row>
    <row r="262" spans="1:1">
      <c r="A262" s="1"/>
    </row>
    <row r="263" spans="1:1">
      <c r="A263" s="1"/>
    </row>
    <row r="264" spans="1:1">
      <c r="A264" s="1"/>
    </row>
    <row r="265" spans="1:1">
      <c r="A265" s="1"/>
    </row>
    <row r="266" spans="1:1">
      <c r="A266" s="1"/>
    </row>
    <row r="267" spans="1:1">
      <c r="A267" s="1"/>
    </row>
    <row r="268" spans="1:1">
      <c r="A268" s="1"/>
    </row>
    <row r="269" spans="1:1">
      <c r="A269" s="1"/>
    </row>
    <row r="270" spans="1:1">
      <c r="A270" s="1"/>
    </row>
    <row r="271" spans="1:1">
      <c r="A271" s="1"/>
    </row>
    <row r="272" spans="1:1">
      <c r="A272" s="1"/>
    </row>
    <row r="273" spans="1:1">
      <c r="A273" s="1"/>
    </row>
    <row r="274" spans="1:1">
      <c r="A274" s="1"/>
    </row>
    <row r="275" spans="1:1">
      <c r="A275" s="1"/>
    </row>
    <row r="276" spans="1:1">
      <c r="A276" s="1"/>
    </row>
    <row r="277" spans="1:1">
      <c r="A277" s="1"/>
    </row>
    <row r="278" spans="1:1">
      <c r="A278" s="1"/>
    </row>
    <row r="279" spans="1:1">
      <c r="A279" s="1"/>
    </row>
    <row r="280" spans="1:1">
      <c r="A280" s="1"/>
    </row>
    <row r="281" spans="1:1">
      <c r="A281" s="1"/>
    </row>
    <row r="282" spans="1:1">
      <c r="A282" s="1"/>
    </row>
    <row r="283" spans="1:1">
      <c r="A283" s="1"/>
    </row>
    <row r="284" spans="1:1">
      <c r="A284" s="1"/>
    </row>
    <row r="285" spans="1:1">
      <c r="A285" s="1"/>
    </row>
    <row r="286" spans="1:1">
      <c r="A286" s="1"/>
    </row>
    <row r="287" spans="1:1">
      <c r="A287" s="1"/>
    </row>
    <row r="288" spans="1:1">
      <c r="A288" s="1"/>
    </row>
    <row r="289" spans="1:1">
      <c r="A289" s="1"/>
    </row>
    <row r="290" spans="1:1">
      <c r="A290" s="1"/>
    </row>
    <row r="291" spans="1:1">
      <c r="A291" s="1"/>
    </row>
    <row r="292" spans="1:1">
      <c r="A292" s="1"/>
    </row>
    <row r="293" spans="1:1">
      <c r="A293" s="1"/>
    </row>
    <row r="294" spans="1:1">
      <c r="A294" s="1"/>
    </row>
    <row r="295" spans="1:1">
      <c r="A295" s="1"/>
    </row>
    <row r="296" spans="1:1">
      <c r="A296" s="1"/>
    </row>
    <row r="297" spans="1:1">
      <c r="A297" s="1"/>
    </row>
    <row r="298" spans="1:1">
      <c r="A298" s="1"/>
    </row>
    <row r="299" spans="1:1">
      <c r="A299" s="1"/>
    </row>
    <row r="300" spans="1:1">
      <c r="A300" s="1"/>
    </row>
    <row r="301" spans="1:1">
      <c r="A301" s="1"/>
    </row>
    <row r="302" spans="1:1">
      <c r="A302" s="1"/>
    </row>
    <row r="303" spans="1:1">
      <c r="A303" s="1"/>
    </row>
    <row r="304" spans="1:1">
      <c r="A304" s="1"/>
    </row>
    <row r="305" spans="1:1">
      <c r="A305" s="1"/>
    </row>
    <row r="306" spans="1:1">
      <c r="A306" s="1"/>
    </row>
    <row r="307" spans="1:1">
      <c r="A307" s="1"/>
    </row>
    <row r="308" spans="1:1">
      <c r="A308" s="1"/>
    </row>
    <row r="309" spans="1:1">
      <c r="A309" s="1"/>
    </row>
    <row r="310" spans="1:1">
      <c r="A310" s="1"/>
    </row>
    <row r="311" spans="1:1">
      <c r="A311" s="1"/>
    </row>
    <row r="312" spans="1:1">
      <c r="A312" s="1"/>
    </row>
    <row r="313" spans="1:1">
      <c r="A313" s="1"/>
    </row>
    <row r="314" spans="1:1">
      <c r="A314" s="1"/>
    </row>
    <row r="315" spans="1:1">
      <c r="A315" s="1"/>
    </row>
    <row r="316" spans="1:1">
      <c r="A316" s="1"/>
    </row>
    <row r="317" spans="1:1">
      <c r="A317" s="1"/>
    </row>
    <row r="318" spans="1:1">
      <c r="A318" s="1"/>
    </row>
    <row r="319" spans="1:1">
      <c r="A319" s="1"/>
    </row>
    <row r="320" spans="1:1">
      <c r="A320" s="1"/>
    </row>
    <row r="321" spans="1:1">
      <c r="A321" s="1"/>
    </row>
    <row r="322" spans="1:1">
      <c r="A322" s="1"/>
    </row>
    <row r="323" spans="1:1">
      <c r="A323" s="1"/>
    </row>
    <row r="324" spans="1:1">
      <c r="A324" s="1"/>
    </row>
    <row r="325" spans="1:1">
      <c r="A325" s="1"/>
    </row>
    <row r="326" spans="1:1">
      <c r="A326" s="1"/>
    </row>
    <row r="327" spans="1:1">
      <c r="A327" s="1"/>
    </row>
    <row r="328" spans="1:1">
      <c r="A328" s="1"/>
    </row>
    <row r="329" spans="1:1">
      <c r="A329" s="1"/>
    </row>
    <row r="330" spans="1:1">
      <c r="A330" s="1"/>
    </row>
    <row r="331" spans="1:1">
      <c r="A331" s="1"/>
    </row>
    <row r="332" spans="1:1">
      <c r="A332" s="1"/>
    </row>
    <row r="333" spans="1:1">
      <c r="A333" s="1"/>
    </row>
    <row r="334" spans="1:1">
      <c r="A334" s="1"/>
    </row>
    <row r="335" spans="1:1">
      <c r="A335" s="1"/>
    </row>
    <row r="336" spans="1:1">
      <c r="A336" s="1"/>
    </row>
    <row r="337" spans="1:1">
      <c r="A337" s="1"/>
    </row>
    <row r="338" spans="1:1">
      <c r="A338" s="1"/>
    </row>
    <row r="339" spans="1:1">
      <c r="A339" s="1"/>
    </row>
    <row r="340" spans="1:1">
      <c r="A340" s="1"/>
    </row>
    <row r="341" spans="1:1">
      <c r="A341" s="1"/>
    </row>
    <row r="342" spans="1:1">
      <c r="A342" s="1"/>
    </row>
    <row r="343" spans="1:1">
      <c r="A343" s="1"/>
    </row>
    <row r="344" spans="1:1">
      <c r="A344" s="1"/>
    </row>
    <row r="345" spans="1:1">
      <c r="A345" s="1"/>
    </row>
    <row r="346" spans="1:1">
      <c r="A346" s="1"/>
    </row>
    <row r="347" spans="1:1">
      <c r="A347" s="1"/>
    </row>
    <row r="348" spans="1:1">
      <c r="A348" s="1"/>
    </row>
    <row r="349" spans="1:1">
      <c r="A349" s="1"/>
    </row>
    <row r="350" spans="1:1">
      <c r="A350" s="1"/>
    </row>
    <row r="351" spans="1:1">
      <c r="A351" s="1"/>
    </row>
    <row r="352" spans="1:1">
      <c r="A352" s="1"/>
    </row>
    <row r="353" spans="1:1">
      <c r="A353" s="1"/>
    </row>
    <row r="354" spans="1:1">
      <c r="A354" s="1"/>
    </row>
    <row r="355" spans="1:1">
      <c r="A355" s="1"/>
    </row>
    <row r="356" spans="1:1">
      <c r="A356" s="1"/>
    </row>
    <row r="357" spans="1:1">
      <c r="A357" s="1"/>
    </row>
    <row r="358" spans="1:1">
      <c r="A358" s="1"/>
    </row>
    <row r="359" spans="1:1">
      <c r="A359" s="1"/>
    </row>
    <row r="360" spans="1:1">
      <c r="A360" s="1"/>
    </row>
    <row r="361" spans="1:1">
      <c r="A361" s="1"/>
    </row>
    <row r="362" spans="1:1">
      <c r="A362" s="1"/>
    </row>
    <row r="363" spans="1:1">
      <c r="A363" s="1"/>
    </row>
    <row r="364" spans="1:1">
      <c r="A364" s="1"/>
    </row>
    <row r="365" spans="1:1">
      <c r="A365" s="1"/>
    </row>
    <row r="366" spans="1:1">
      <c r="A366" s="1"/>
    </row>
    <row r="367" spans="1:1">
      <c r="A367" s="1"/>
    </row>
    <row r="368" spans="1:1">
      <c r="A368" s="1"/>
    </row>
    <row r="369" spans="1:1">
      <c r="A369" s="1"/>
    </row>
    <row r="370" spans="1:1">
      <c r="A370" s="1"/>
    </row>
    <row r="371" spans="1:1">
      <c r="A371" s="1"/>
    </row>
    <row r="372" spans="1:1">
      <c r="A372" s="1"/>
    </row>
    <row r="373" spans="1:1">
      <c r="A373" s="1"/>
    </row>
    <row r="374" spans="1:1">
      <c r="A374" s="1"/>
    </row>
    <row r="375" spans="1:1">
      <c r="A375" s="1"/>
    </row>
    <row r="376" spans="1:1">
      <c r="A376" s="1"/>
    </row>
    <row r="377" spans="1:1">
      <c r="A377" s="1"/>
    </row>
    <row r="378" spans="1:1">
      <c r="A378" s="1"/>
    </row>
    <row r="379" spans="1:1">
      <c r="A379" s="1"/>
    </row>
    <row r="380" spans="1:1">
      <c r="A380" s="1"/>
    </row>
    <row r="381" spans="1:1">
      <c r="A381" s="1"/>
    </row>
    <row r="382" spans="1:1">
      <c r="A382" s="1"/>
    </row>
    <row r="383" spans="1:1">
      <c r="A383" s="1"/>
    </row>
    <row r="384" spans="1:1">
      <c r="A384" s="1"/>
    </row>
    <row r="385" spans="1:1">
      <c r="A385" s="1"/>
    </row>
    <row r="386" spans="1:1">
      <c r="A386" s="1"/>
    </row>
    <row r="387" spans="1:1">
      <c r="A387" s="1"/>
    </row>
    <row r="388" spans="1:1">
      <c r="A388" s="1"/>
    </row>
    <row r="389" spans="1:1">
      <c r="A389" s="1"/>
    </row>
    <row r="390" spans="1:1">
      <c r="A390" s="1"/>
    </row>
    <row r="391" spans="1:1">
      <c r="A391" s="1"/>
    </row>
    <row r="392" spans="1:1">
      <c r="A392" s="1"/>
    </row>
    <row r="393" spans="1:1">
      <c r="A393" s="1"/>
    </row>
    <row r="394" spans="1:1">
      <c r="A394" s="1"/>
    </row>
    <row r="395" spans="1:1">
      <c r="A395" s="1"/>
    </row>
    <row r="396" spans="1:1">
      <c r="A396" s="1"/>
    </row>
    <row r="397" spans="1:1">
      <c r="A397" s="1"/>
    </row>
    <row r="398" spans="1:1">
      <c r="A398" s="1"/>
    </row>
    <row r="399" spans="1:1">
      <c r="A399" s="1"/>
    </row>
    <row r="400" spans="1:1">
      <c r="A400" s="1"/>
    </row>
    <row r="401" spans="1:1">
      <c r="A401" s="1"/>
    </row>
    <row r="402" spans="1:1">
      <c r="A402" s="1"/>
    </row>
    <row r="403" spans="1:1">
      <c r="A403" s="1"/>
    </row>
    <row r="404" spans="1:1">
      <c r="A404" s="1"/>
    </row>
    <row r="405" spans="1:1">
      <c r="A405" s="1"/>
    </row>
    <row r="406" spans="1:1">
      <c r="A406" s="1"/>
    </row>
    <row r="407" spans="1:1">
      <c r="A407" s="1"/>
    </row>
    <row r="408" spans="1:1">
      <c r="A408" s="1"/>
    </row>
    <row r="409" spans="1:1">
      <c r="A409" s="1"/>
    </row>
    <row r="410" spans="1:1">
      <c r="A410" s="1"/>
    </row>
    <row r="411" spans="1:1">
      <c r="A411" s="1"/>
    </row>
    <row r="412" spans="1:1">
      <c r="A412" s="1"/>
    </row>
    <row r="413" spans="1:1">
      <c r="A413" s="1"/>
    </row>
    <row r="414" spans="1:1">
      <c r="A414" s="1"/>
    </row>
    <row r="415" spans="1:1">
      <c r="A415" s="1"/>
    </row>
    <row r="416" spans="1:1">
      <c r="A416" s="1"/>
    </row>
    <row r="417" spans="1:1">
      <c r="A417" s="1"/>
    </row>
    <row r="418" spans="1:1">
      <c r="A418" s="1"/>
    </row>
    <row r="419" spans="1:1">
      <c r="A419" s="1"/>
    </row>
    <row r="420" spans="1:1">
      <c r="A420" s="1"/>
    </row>
    <row r="421" spans="1:1">
      <c r="A421" s="1"/>
    </row>
    <row r="422" spans="1:1">
      <c r="A422" s="1"/>
    </row>
    <row r="423" spans="1:1">
      <c r="A423" s="1"/>
    </row>
    <row r="424" spans="1:1">
      <c r="A424" s="1"/>
    </row>
    <row r="425" spans="1:1">
      <c r="A425" s="1"/>
    </row>
    <row r="426" spans="1:1">
      <c r="A426" s="1"/>
    </row>
    <row r="427" spans="1:1">
      <c r="A427" s="1"/>
    </row>
    <row r="428" spans="1:1">
      <c r="A428" s="1"/>
    </row>
    <row r="429" spans="1:1">
      <c r="A429" s="1"/>
    </row>
    <row r="430" spans="1:1">
      <c r="A430" s="1"/>
    </row>
    <row r="431" spans="1:1">
      <c r="A431" s="1"/>
    </row>
    <row r="432" spans="1:1">
      <c r="A432" s="1"/>
    </row>
    <row r="433" spans="1:1">
      <c r="A433" s="1"/>
    </row>
    <row r="434" spans="1:1">
      <c r="A434" s="1"/>
    </row>
    <row r="435" spans="1:1">
      <c r="A435" s="1"/>
    </row>
    <row r="436" spans="1:1">
      <c r="A436" s="1"/>
    </row>
    <row r="437" spans="1:1">
      <c r="A437" s="1"/>
    </row>
    <row r="438" spans="1:1">
      <c r="A438" s="1"/>
    </row>
    <row r="439" spans="1:1">
      <c r="A439" s="1"/>
    </row>
    <row r="440" spans="1:1">
      <c r="A440" s="1"/>
    </row>
    <row r="441" spans="1:1">
      <c r="A441" s="1"/>
    </row>
    <row r="442" spans="1:1">
      <c r="A442" s="1"/>
    </row>
    <row r="443" spans="1:1">
      <c r="A443" s="1"/>
    </row>
    <row r="444" spans="1:1">
      <c r="A444" s="1"/>
    </row>
    <row r="445" spans="1:1">
      <c r="A445" s="1"/>
    </row>
    <row r="446" spans="1:1">
      <c r="A446" s="1"/>
    </row>
    <row r="447" spans="1:1">
      <c r="A447" s="1"/>
    </row>
    <row r="448" spans="1:1">
      <c r="A448" s="1"/>
    </row>
    <row r="449" spans="1:1">
      <c r="A449" s="1"/>
    </row>
    <row r="450" spans="1:1">
      <c r="A450" s="1"/>
    </row>
    <row r="451" spans="1:1">
      <c r="A451" s="1"/>
    </row>
    <row r="452" spans="1:1">
      <c r="A452" s="1"/>
    </row>
    <row r="453" spans="1:1">
      <c r="A453" s="1"/>
    </row>
    <row r="454" spans="1:1">
      <c r="A454" s="1"/>
    </row>
    <row r="455" spans="1:1">
      <c r="A455" s="1"/>
    </row>
    <row r="456" spans="1:1">
      <c r="A456" s="1"/>
    </row>
    <row r="457" spans="1:1">
      <c r="A457" s="1"/>
    </row>
    <row r="458" spans="1:1">
      <c r="A458" s="1"/>
    </row>
    <row r="459" spans="1:1">
      <c r="A459" s="1"/>
    </row>
    <row r="460" spans="1:1">
      <c r="A460" s="1"/>
    </row>
    <row r="461" spans="1:1">
      <c r="A461" s="1"/>
    </row>
    <row r="462" spans="1:1">
      <c r="A462" s="1"/>
    </row>
    <row r="463" spans="1:1">
      <c r="A463" s="1"/>
    </row>
    <row r="464" spans="1:1">
      <c r="A464" s="1"/>
    </row>
    <row r="465" spans="1:1">
      <c r="A465" s="1"/>
    </row>
    <row r="466" spans="1:1">
      <c r="A466" s="1"/>
    </row>
    <row r="467" spans="1:1">
      <c r="A467" s="1"/>
    </row>
    <row r="468" spans="1:1">
      <c r="A468" s="1"/>
    </row>
    <row r="469" spans="1:1">
      <c r="A469" s="1"/>
    </row>
    <row r="470" spans="1:1">
      <c r="A470" s="1"/>
    </row>
    <row r="471" spans="1:1">
      <c r="A471" s="1"/>
    </row>
    <row r="472" spans="1:1">
      <c r="A472" s="1"/>
    </row>
    <row r="473" spans="1:1">
      <c r="A473" s="1"/>
    </row>
    <row r="474" spans="1:1">
      <c r="A474" s="1"/>
    </row>
    <row r="475" spans="1:1">
      <c r="A475" s="1"/>
    </row>
    <row r="476" spans="1:1">
      <c r="A476" s="1"/>
    </row>
    <row r="477" spans="1:1">
      <c r="A477" s="1"/>
    </row>
    <row r="478" spans="1:1">
      <c r="A478" s="1"/>
    </row>
    <row r="479" spans="1:1">
      <c r="A479" s="1"/>
    </row>
    <row r="480" spans="1:1">
      <c r="A480" s="1"/>
    </row>
    <row r="481" spans="1:1">
      <c r="A481" s="1"/>
    </row>
    <row r="482" spans="1:1">
      <c r="A482" s="1"/>
    </row>
    <row r="483" spans="1:1">
      <c r="A483" s="1"/>
    </row>
    <row r="484" spans="1:1">
      <c r="A484" s="1"/>
    </row>
    <row r="485" spans="1:1">
      <c r="A485" s="1"/>
    </row>
    <row r="486" spans="1:1">
      <c r="A486" s="1"/>
    </row>
    <row r="487" spans="1:1">
      <c r="A487" s="1"/>
    </row>
    <row r="488" spans="1:1">
      <c r="A488" s="1"/>
    </row>
    <row r="489" spans="1:1">
      <c r="A489" s="1"/>
    </row>
    <row r="490" spans="1:1">
      <c r="A490" s="1"/>
    </row>
    <row r="491" spans="1:1">
      <c r="A491" s="1"/>
    </row>
    <row r="492" spans="1:1">
      <c r="A492" s="1"/>
    </row>
    <row r="493" spans="1:1">
      <c r="A493" s="1"/>
    </row>
    <row r="494" spans="1:1">
      <c r="A494" s="1"/>
    </row>
    <row r="495" spans="1:1">
      <c r="A495" s="1"/>
    </row>
    <row r="496" spans="1:1">
      <c r="A496" s="1"/>
    </row>
    <row r="497" spans="1:1">
      <c r="A497" s="1"/>
    </row>
    <row r="498" spans="1:1">
      <c r="A498" s="1"/>
    </row>
    <row r="499" spans="1:1">
      <c r="A499" s="1"/>
    </row>
    <row r="500" spans="1:1">
      <c r="A500" s="1"/>
    </row>
    <row r="501" spans="1:1">
      <c r="A501" s="1"/>
    </row>
    <row r="502" spans="1:1">
      <c r="A502" s="1"/>
    </row>
    <row r="503" spans="1:1">
      <c r="A503" s="1"/>
    </row>
    <row r="504" spans="1:1">
      <c r="A504" s="1"/>
    </row>
    <row r="505" spans="1:1">
      <c r="A505" s="1"/>
    </row>
    <row r="506" spans="1:1">
      <c r="A506" s="1"/>
    </row>
    <row r="507" spans="1:1">
      <c r="A507" s="1"/>
    </row>
    <row r="508" spans="1:1">
      <c r="A508" s="1"/>
    </row>
    <row r="509" spans="1:1">
      <c r="A509" s="1"/>
    </row>
    <row r="510" spans="1:1">
      <c r="A510" s="1"/>
    </row>
    <row r="511" spans="1:1">
      <c r="A511" s="1"/>
    </row>
    <row r="512" spans="1:1">
      <c r="A512" s="1"/>
    </row>
    <row r="513" spans="1:1">
      <c r="A513" s="1"/>
    </row>
    <row r="514" spans="1:1">
      <c r="A514" s="1"/>
    </row>
    <row r="515" spans="1:1">
      <c r="A515" s="1"/>
    </row>
    <row r="516" spans="1:1">
      <c r="A516" s="1"/>
    </row>
    <row r="517" spans="1:1">
      <c r="A517" s="1"/>
    </row>
    <row r="518" spans="1:1">
      <c r="A518" s="1"/>
    </row>
    <row r="519" spans="1:1">
      <c r="A519" s="1"/>
    </row>
    <row r="520" spans="1:1">
      <c r="A520" s="1"/>
    </row>
    <row r="521" spans="1:1">
      <c r="A521" s="1"/>
    </row>
    <row r="522" spans="1:1">
      <c r="A522" s="1"/>
    </row>
    <row r="523" spans="1:1">
      <c r="A523" s="1"/>
    </row>
    <row r="524" spans="1:1">
      <c r="A524" s="1"/>
    </row>
    <row r="525" spans="1:1">
      <c r="A525" s="1"/>
    </row>
    <row r="526" spans="1:1">
      <c r="A526" s="1"/>
    </row>
    <row r="527" spans="1:1">
      <c r="A527" s="1"/>
    </row>
    <row r="528" spans="1:1">
      <c r="A528" s="1"/>
    </row>
    <row r="529" spans="1:1">
      <c r="A529" s="1"/>
    </row>
    <row r="530" spans="1:1">
      <c r="A530" s="1"/>
    </row>
    <row r="531" spans="1:1">
      <c r="A531" s="1"/>
    </row>
    <row r="532" spans="1:1">
      <c r="A532" s="1"/>
    </row>
    <row r="533" spans="1:1">
      <c r="A533" s="1"/>
    </row>
    <row r="534" spans="1:1">
      <c r="A534" s="1"/>
    </row>
    <row r="535" spans="1:1">
      <c r="A535" s="1"/>
    </row>
    <row r="536" spans="1:1">
      <c r="A536" s="1"/>
    </row>
    <row r="537" spans="1:1">
      <c r="A537" s="1"/>
    </row>
    <row r="538" spans="1:1">
      <c r="A538" s="1"/>
    </row>
    <row r="539" spans="1:1">
      <c r="A539" s="1"/>
    </row>
    <row r="540" spans="1:1">
      <c r="A540" s="1"/>
    </row>
    <row r="541" spans="1:1">
      <c r="A541" s="1"/>
    </row>
    <row r="542" spans="1:1">
      <c r="A542" s="1"/>
    </row>
    <row r="543" spans="1:1">
      <c r="A543" s="1"/>
    </row>
    <row r="544" spans="1:1">
      <c r="A544" s="1"/>
    </row>
    <row r="545" spans="1:1">
      <c r="A545" s="1"/>
    </row>
    <row r="546" spans="1:1">
      <c r="A546" s="1"/>
    </row>
    <row r="547" spans="1:1">
      <c r="A547" s="1"/>
    </row>
    <row r="548" spans="1:1">
      <c r="A548" s="1"/>
    </row>
    <row r="549" spans="1:1">
      <c r="A549" s="1"/>
    </row>
    <row r="550" spans="1:1">
      <c r="A550" s="1"/>
    </row>
    <row r="551" spans="1:1">
      <c r="A551" s="1"/>
    </row>
    <row r="552" spans="1:1">
      <c r="A552" s="1"/>
    </row>
    <row r="553" spans="1:1">
      <c r="A553" s="1"/>
    </row>
    <row r="554" spans="1:1">
      <c r="A554" s="1"/>
    </row>
    <row r="555" spans="1:1">
      <c r="A555" s="1"/>
    </row>
    <row r="556" spans="1:1">
      <c r="A556" s="1"/>
    </row>
    <row r="557" spans="1:1">
      <c r="A557" s="1"/>
    </row>
    <row r="558" spans="1:1">
      <c r="A558" s="1"/>
    </row>
    <row r="559" spans="1:1">
      <c r="A559" s="1"/>
    </row>
    <row r="560" spans="1:1">
      <c r="A560" s="1"/>
    </row>
    <row r="561" spans="1:1">
      <c r="A561" s="1"/>
    </row>
    <row r="562" spans="1:1">
      <c r="A562" s="1"/>
    </row>
    <row r="563" spans="1:1">
      <c r="A563" s="1"/>
    </row>
    <row r="564" spans="1:1">
      <c r="A564" s="1"/>
    </row>
    <row r="565" spans="1:1">
      <c r="A565" s="1"/>
    </row>
    <row r="566" spans="1:1">
      <c r="A566" s="1"/>
    </row>
    <row r="567" spans="1:1">
      <c r="A567" s="1"/>
    </row>
    <row r="568" spans="1:1">
      <c r="A568" s="1"/>
    </row>
    <row r="569" spans="1:1">
      <c r="A569" s="1"/>
    </row>
    <row r="570" spans="1:1">
      <c r="A570" s="1"/>
    </row>
    <row r="571" spans="1:1">
      <c r="A571" s="1"/>
    </row>
    <row r="572" spans="1:1">
      <c r="A572" s="1"/>
    </row>
    <row r="573" spans="1:1">
      <c r="A573" s="1"/>
    </row>
    <row r="574" spans="1:1">
      <c r="A574" s="1"/>
    </row>
    <row r="575" spans="1:1">
      <c r="A575" s="1"/>
    </row>
    <row r="576" spans="1:1">
      <c r="A576" s="1"/>
    </row>
    <row r="577" spans="1:1">
      <c r="A577" s="1"/>
    </row>
    <row r="578" spans="1:1">
      <c r="A578" s="1"/>
    </row>
    <row r="579" spans="1:1">
      <c r="A579" s="1"/>
    </row>
    <row r="580" spans="1:1">
      <c r="A580" s="1"/>
    </row>
    <row r="581" spans="1:1">
      <c r="A581" s="1"/>
    </row>
    <row r="582" spans="1:1">
      <c r="A582" s="1"/>
    </row>
    <row r="583" spans="1:1">
      <c r="A583" s="1"/>
    </row>
    <row r="584" spans="1:1">
      <c r="A584" s="1"/>
    </row>
    <row r="585" spans="1:1">
      <c r="A585" s="1"/>
    </row>
    <row r="586" spans="1:1">
      <c r="A586" s="1"/>
    </row>
    <row r="587" spans="1:1">
      <c r="A587" s="1"/>
    </row>
    <row r="588" spans="1:1">
      <c r="A588" s="1"/>
    </row>
    <row r="589" spans="1:1">
      <c r="A589" s="1"/>
    </row>
    <row r="590" spans="1:1">
      <c r="A590" s="1"/>
    </row>
    <row r="591" spans="1:1">
      <c r="A591" s="1"/>
    </row>
    <row r="592" spans="1:1">
      <c r="A592" s="1"/>
    </row>
    <row r="593" spans="1:1">
      <c r="A593" s="1"/>
    </row>
    <row r="594" spans="1:1">
      <c r="A594" s="1"/>
    </row>
    <row r="595" spans="1:1">
      <c r="A595" s="1"/>
    </row>
    <row r="596" spans="1:1">
      <c r="A596" s="1"/>
    </row>
    <row r="597" spans="1:1">
      <c r="A597" s="1"/>
    </row>
    <row r="598" spans="1:1">
      <c r="A598" s="1"/>
    </row>
    <row r="599" spans="1:1">
      <c r="A599" s="1"/>
    </row>
    <row r="600" spans="1:1">
      <c r="A600" s="1"/>
    </row>
    <row r="601" spans="1:1">
      <c r="A601" s="1"/>
    </row>
    <row r="602" spans="1:1">
      <c r="A602" s="1"/>
    </row>
    <row r="603" spans="1:1">
      <c r="A603" s="1"/>
    </row>
    <row r="604" spans="1:1">
      <c r="A604" s="1"/>
    </row>
    <row r="605" spans="1:1">
      <c r="A605" s="1"/>
    </row>
    <row r="606" spans="1:1">
      <c r="A606" s="1"/>
    </row>
    <row r="607" spans="1:1">
      <c r="A607" s="1"/>
    </row>
    <row r="608" spans="1:1">
      <c r="A608" s="1"/>
    </row>
    <row r="609" spans="1:1">
      <c r="A609" s="1"/>
    </row>
    <row r="610" spans="1:1">
      <c r="A610" s="1"/>
    </row>
    <row r="611" spans="1:1">
      <c r="A611" s="1"/>
    </row>
    <row r="612" spans="1:1">
      <c r="A612" s="1"/>
    </row>
    <row r="613" spans="1:1">
      <c r="A613" s="1"/>
    </row>
    <row r="614" spans="1:1">
      <c r="A614" s="1"/>
    </row>
    <row r="615" spans="1:1">
      <c r="A615" s="1"/>
    </row>
    <row r="616" spans="1:1">
      <c r="A616" s="1"/>
    </row>
    <row r="617" spans="1:1">
      <c r="A617" s="1"/>
    </row>
    <row r="618" spans="1:1">
      <c r="A618" s="1"/>
    </row>
    <row r="619" spans="1:1">
      <c r="A619" s="1"/>
    </row>
    <row r="620" spans="1:1">
      <c r="A620" s="1"/>
    </row>
    <row r="621" spans="1:1">
      <c r="A621" s="1"/>
    </row>
    <row r="622" spans="1:1">
      <c r="A622" s="1"/>
    </row>
    <row r="623" spans="1:1">
      <c r="A623" s="1"/>
    </row>
    <row r="624" spans="1:1">
      <c r="A624" s="1"/>
    </row>
    <row r="625" spans="1:1">
      <c r="A625" s="1"/>
    </row>
    <row r="626" spans="1:1">
      <c r="A626" s="1"/>
    </row>
    <row r="627" spans="1:1">
      <c r="A627" s="1"/>
    </row>
    <row r="628" spans="1:1">
      <c r="A628" s="1"/>
    </row>
    <row r="629" spans="1:1">
      <c r="A629" s="1"/>
    </row>
    <row r="630" spans="1:1">
      <c r="A630" s="1"/>
    </row>
    <row r="631" spans="1:1">
      <c r="A631" s="1"/>
    </row>
    <row r="632" spans="1:1">
      <c r="A632" s="1"/>
    </row>
    <row r="633" spans="1:1">
      <c r="A633" s="1"/>
    </row>
    <row r="634" spans="1:1">
      <c r="A634" s="1"/>
    </row>
    <row r="635" spans="1:1">
      <c r="A635" s="1"/>
    </row>
    <row r="636" spans="1:1">
      <c r="A636" s="1"/>
    </row>
    <row r="637" spans="1:1">
      <c r="A637" s="1"/>
    </row>
    <row r="638" spans="1:1">
      <c r="A638" s="1"/>
    </row>
    <row r="639" spans="1:1">
      <c r="A639" s="1"/>
    </row>
    <row r="640" spans="1:1">
      <c r="A640" s="1"/>
    </row>
    <row r="641" spans="1:1">
      <c r="A641" s="1"/>
    </row>
    <row r="642" spans="1:1">
      <c r="A642" s="1"/>
    </row>
    <row r="643" spans="1:1">
      <c r="A643" s="1"/>
    </row>
    <row r="644" spans="1:1">
      <c r="A644" s="1"/>
    </row>
    <row r="645" spans="1:1">
      <c r="A645" s="1"/>
    </row>
    <row r="646" spans="1:1">
      <c r="A646" s="1"/>
    </row>
    <row r="647" spans="1:1">
      <c r="A647" s="1"/>
    </row>
    <row r="648" spans="1:1">
      <c r="A648" s="1"/>
    </row>
    <row r="649" spans="1:1">
      <c r="A649" s="1"/>
    </row>
    <row r="650" spans="1:1">
      <c r="A650" s="1"/>
    </row>
    <row r="651" spans="1:1">
      <c r="A651" s="1"/>
    </row>
    <row r="652" spans="1:1">
      <c r="A652" s="1"/>
    </row>
    <row r="653" spans="1:1">
      <c r="A653" s="1"/>
    </row>
    <row r="654" spans="1:1">
      <c r="A654" s="1"/>
    </row>
    <row r="655" spans="1:1">
      <c r="A655" s="1"/>
    </row>
    <row r="656" spans="1:1">
      <c r="A656" s="1"/>
    </row>
    <row r="657" spans="1:1">
      <c r="A657" s="1"/>
    </row>
    <row r="658" spans="1:1">
      <c r="A658" s="1"/>
    </row>
    <row r="659" spans="1:1">
      <c r="A659" s="1"/>
    </row>
    <row r="660" spans="1:1">
      <c r="A660" s="1"/>
    </row>
    <row r="661" spans="1:1">
      <c r="A661" s="1"/>
    </row>
    <row r="662" spans="1:1">
      <c r="A662" s="1"/>
    </row>
    <row r="663" spans="1:1">
      <c r="A663" s="1"/>
    </row>
    <row r="664" spans="1:1">
      <c r="A664" s="1"/>
    </row>
    <row r="665" spans="1:1">
      <c r="A665" s="1"/>
    </row>
    <row r="666" spans="1:1">
      <c r="A666" s="1"/>
    </row>
    <row r="667" spans="1:1">
      <c r="A667" s="1"/>
    </row>
    <row r="668" spans="1:1">
      <c r="A668" s="1"/>
    </row>
    <row r="669" spans="1:1">
      <c r="A669" s="1"/>
    </row>
    <row r="670" spans="1:1">
      <c r="A670" s="1"/>
    </row>
    <row r="671" spans="1:1">
      <c r="A671" s="1"/>
    </row>
    <row r="672" spans="1:1">
      <c r="A672" s="1"/>
    </row>
    <row r="673" spans="1:1">
      <c r="A673" s="1"/>
    </row>
    <row r="674" spans="1:1">
      <c r="A674" s="1"/>
    </row>
    <row r="675" spans="1:1">
      <c r="A675" s="1"/>
    </row>
    <row r="676" spans="1:1">
      <c r="A676" s="1"/>
    </row>
    <row r="677" spans="1:1">
      <c r="A677" s="1"/>
    </row>
    <row r="678" spans="1:1">
      <c r="A678" s="1"/>
    </row>
    <row r="679" spans="1:1">
      <c r="A679" s="1"/>
    </row>
    <row r="680" spans="1:1">
      <c r="A680" s="1"/>
    </row>
    <row r="681" spans="1:1">
      <c r="A681" s="1"/>
    </row>
    <row r="682" spans="1:1">
      <c r="A682" s="1"/>
    </row>
    <row r="683" spans="1:1">
      <c r="A683" s="1"/>
    </row>
    <row r="684" spans="1:1">
      <c r="A684" s="1"/>
    </row>
    <row r="685" spans="1:1">
      <c r="A685" s="1"/>
    </row>
    <row r="686" spans="1:1">
      <c r="A686" s="1"/>
    </row>
    <row r="687" spans="1:1">
      <c r="A687" s="1"/>
    </row>
    <row r="688" spans="1:1">
      <c r="A688" s="1"/>
    </row>
    <row r="689" spans="1:1">
      <c r="A689" s="1"/>
    </row>
    <row r="690" spans="1:1">
      <c r="A690" s="1"/>
    </row>
    <row r="691" spans="1:1">
      <c r="A691" s="1"/>
    </row>
    <row r="692" spans="1:1">
      <c r="A692" s="1"/>
    </row>
    <row r="693" spans="1:1">
      <c r="A693" s="1"/>
    </row>
    <row r="694" spans="1:1">
      <c r="A694" s="1"/>
    </row>
    <row r="695" spans="1:1">
      <c r="A695" s="1"/>
    </row>
    <row r="696" spans="1:1">
      <c r="A696" s="1"/>
    </row>
    <row r="697" spans="1:1">
      <c r="A697" s="1"/>
    </row>
    <row r="698" spans="1:1">
      <c r="A698" s="1"/>
    </row>
    <row r="699" spans="1:1">
      <c r="A699" s="1"/>
    </row>
    <row r="700" spans="1:1">
      <c r="A700" s="1"/>
    </row>
    <row r="701" spans="1:1">
      <c r="A701" s="1"/>
    </row>
    <row r="702" spans="1:1">
      <c r="A702" s="1"/>
    </row>
    <row r="703" spans="1:1">
      <c r="A703" s="1"/>
    </row>
    <row r="704" spans="1:1">
      <c r="A704" s="1"/>
    </row>
    <row r="705" spans="1:1">
      <c r="A705" s="1"/>
    </row>
    <row r="706" spans="1:1">
      <c r="A706" s="1"/>
    </row>
    <row r="707" spans="1:1">
      <c r="A707" s="1"/>
    </row>
    <row r="708" spans="1:1">
      <c r="A708" s="1"/>
    </row>
    <row r="709" spans="1:1">
      <c r="A709" s="1"/>
    </row>
    <row r="710" spans="1:1">
      <c r="A710" s="1"/>
    </row>
    <row r="711" spans="1:1">
      <c r="A711" s="1"/>
    </row>
    <row r="712" spans="1:1">
      <c r="A712" s="1"/>
    </row>
    <row r="713" spans="1:1">
      <c r="A713" s="1"/>
    </row>
    <row r="714" spans="1:1">
      <c r="A714" s="1"/>
    </row>
    <row r="715" spans="1:1">
      <c r="A715" s="1"/>
    </row>
    <row r="716" spans="1:1">
      <c r="A716" s="1"/>
    </row>
    <row r="717" spans="1:1">
      <c r="A717" s="1"/>
    </row>
    <row r="718" spans="1:1">
      <c r="A718" s="1"/>
    </row>
    <row r="719" spans="1:1">
      <c r="A719" s="1"/>
    </row>
    <row r="720" spans="1:1">
      <c r="A720" s="1"/>
    </row>
    <row r="721" spans="1:1">
      <c r="A721" s="1"/>
    </row>
    <row r="722" spans="1:1">
      <c r="A722" s="1"/>
    </row>
    <row r="723" spans="1:1">
      <c r="A723" s="1"/>
    </row>
    <row r="724" spans="1:1">
      <c r="A724" s="1"/>
    </row>
    <row r="725" spans="1:1">
      <c r="A725" s="1"/>
    </row>
    <row r="726" spans="1:1">
      <c r="A726" s="1"/>
    </row>
    <row r="727" spans="1:1">
      <c r="A727" s="1"/>
    </row>
    <row r="728" spans="1:1">
      <c r="A728" s="1"/>
    </row>
    <row r="729" spans="1:1">
      <c r="A729" s="1"/>
    </row>
    <row r="730" spans="1:1">
      <c r="A730" s="1"/>
    </row>
    <row r="731" spans="1:1">
      <c r="A731" s="1"/>
    </row>
    <row r="732" spans="1:1">
      <c r="A732" s="1"/>
    </row>
    <row r="733" spans="1:1">
      <c r="A733" s="1"/>
    </row>
    <row r="734" spans="1:1">
      <c r="A734" s="1"/>
    </row>
    <row r="735" spans="1:1">
      <c r="A735" s="1"/>
    </row>
    <row r="736" spans="1:1">
      <c r="A736" s="1"/>
    </row>
    <row r="737" spans="1:1">
      <c r="A737" s="1"/>
    </row>
    <row r="738" spans="1:1">
      <c r="A738" s="1"/>
    </row>
    <row r="739" spans="1:1">
      <c r="A739" s="1"/>
    </row>
    <row r="740" spans="1:1">
      <c r="A740" s="1"/>
    </row>
    <row r="741" spans="1:1">
      <c r="A741" s="1"/>
    </row>
    <row r="742" spans="1:1">
      <c r="A742" s="1"/>
    </row>
    <row r="743" spans="1:1">
      <c r="A743" s="1"/>
    </row>
    <row r="744" spans="1:1">
      <c r="A744" s="1"/>
    </row>
    <row r="745" spans="1:1">
      <c r="A745" s="1"/>
    </row>
    <row r="746" spans="1:1">
      <c r="A746" s="1"/>
    </row>
    <row r="747" spans="1:1">
      <c r="A747" s="1"/>
    </row>
    <row r="748" spans="1:1">
      <c r="A748" s="1"/>
    </row>
    <row r="749" spans="1:1">
      <c r="A749" s="1"/>
    </row>
    <row r="750" spans="1:1">
      <c r="A750" s="1"/>
    </row>
    <row r="751" spans="1:1">
      <c r="A751" s="1"/>
    </row>
    <row r="752" spans="1:1">
      <c r="A752" s="1"/>
    </row>
    <row r="753" spans="1:1">
      <c r="A753" s="1"/>
    </row>
    <row r="754" spans="1:1">
      <c r="A754" s="1"/>
    </row>
    <row r="755" spans="1:1">
      <c r="A755" s="1"/>
    </row>
    <row r="756" spans="1:1">
      <c r="A756" s="1"/>
    </row>
    <row r="757" spans="1:1">
      <c r="A757" s="1"/>
    </row>
    <row r="758" spans="1:1">
      <c r="A758" s="1"/>
    </row>
    <row r="759" spans="1:1">
      <c r="A759" s="1"/>
    </row>
    <row r="760" spans="1:1">
      <c r="A760" s="1"/>
    </row>
    <row r="761" spans="1:1">
      <c r="A761" s="1"/>
    </row>
    <row r="762" spans="1:1">
      <c r="A762" s="1"/>
    </row>
    <row r="763" spans="1:1">
      <c r="A763" s="1"/>
    </row>
    <row r="764" spans="1:1">
      <c r="A764" s="1"/>
    </row>
    <row r="765" spans="1:1">
      <c r="A765" s="1"/>
    </row>
    <row r="766" spans="1:1">
      <c r="A766" s="1"/>
    </row>
    <row r="767" spans="1:1">
      <c r="A767" s="1"/>
    </row>
    <row r="768" spans="1:1">
      <c r="A768" s="1"/>
    </row>
    <row r="769" spans="1:1">
      <c r="A769" s="1"/>
    </row>
    <row r="770" spans="1:1">
      <c r="A770" s="1"/>
    </row>
    <row r="771" spans="1:1">
      <c r="A771" s="1"/>
    </row>
    <row r="772" spans="1:1">
      <c r="A772" s="1"/>
    </row>
    <row r="773" spans="1:1">
      <c r="A773" s="1"/>
    </row>
    <row r="774" spans="1:1">
      <c r="A774" s="1"/>
    </row>
    <row r="775" spans="1:1">
      <c r="A775" s="1"/>
    </row>
    <row r="776" spans="1:1">
      <c r="A776" s="1"/>
    </row>
    <row r="777" spans="1:1">
      <c r="A777" s="1"/>
    </row>
    <row r="778" spans="1:1">
      <c r="A778" s="1"/>
    </row>
    <row r="779" spans="1:1">
      <c r="A779" s="1"/>
    </row>
    <row r="780" spans="1:1">
      <c r="A780" s="1"/>
    </row>
    <row r="781" spans="1:1">
      <c r="A781" s="1"/>
    </row>
    <row r="782" spans="1:1">
      <c r="A782" s="1"/>
    </row>
    <row r="783" spans="1:1">
      <c r="A783" s="1"/>
    </row>
    <row r="784" spans="1:1">
      <c r="A784" s="1"/>
    </row>
    <row r="785" spans="1:1">
      <c r="A785" s="1"/>
    </row>
    <row r="786" spans="1:1">
      <c r="A786" s="1"/>
    </row>
    <row r="787" spans="1:1">
      <c r="A787" s="1"/>
    </row>
    <row r="788" spans="1:1">
      <c r="A788" s="1"/>
    </row>
    <row r="789" spans="1:1">
      <c r="A789" s="1"/>
    </row>
    <row r="790" spans="1:1">
      <c r="A790" s="1"/>
    </row>
    <row r="791" spans="1:1">
      <c r="A791" s="1"/>
    </row>
    <row r="792" spans="1:1">
      <c r="A792" s="1"/>
    </row>
    <row r="793" spans="1:1">
      <c r="A793" s="1"/>
    </row>
    <row r="794" spans="1:1">
      <c r="A794" s="1"/>
    </row>
    <row r="795" spans="1:1">
      <c r="A795" s="1"/>
    </row>
    <row r="796" spans="1:1">
      <c r="A796" s="1"/>
    </row>
    <row r="797" spans="1:1">
      <c r="A797" s="1"/>
    </row>
    <row r="798" spans="1:1">
      <c r="A798" s="1"/>
    </row>
    <row r="799" spans="1:1">
      <c r="A799" s="1"/>
    </row>
    <row r="800" spans="1:1">
      <c r="A800" s="1"/>
    </row>
    <row r="801" spans="1:1">
      <c r="A801" s="1"/>
    </row>
    <row r="802" spans="1:1">
      <c r="A802" s="1"/>
    </row>
    <row r="803" spans="1:1">
      <c r="A803" s="1"/>
    </row>
    <row r="804" spans="1:1">
      <c r="A804" s="1"/>
    </row>
    <row r="805" spans="1:1">
      <c r="A805" s="1"/>
    </row>
    <row r="806" spans="1:1">
      <c r="A806" s="1"/>
    </row>
    <row r="807" spans="1:1">
      <c r="A807" s="1"/>
    </row>
    <row r="808" spans="1:1">
      <c r="A808" s="1"/>
    </row>
    <row r="809" spans="1:1">
      <c r="A809" s="1"/>
    </row>
    <row r="810" spans="1:1">
      <c r="A810" s="1"/>
    </row>
    <row r="811" spans="1:1">
      <c r="A811" s="1"/>
    </row>
    <row r="812" spans="1:1">
      <c r="A812" s="1"/>
    </row>
    <row r="813" spans="1:1">
      <c r="A813" s="1"/>
    </row>
    <row r="814" spans="1:1">
      <c r="A814" s="1"/>
    </row>
    <row r="815" spans="1:1">
      <c r="A815" s="1"/>
    </row>
    <row r="816" spans="1:1">
      <c r="A816" s="1"/>
    </row>
    <row r="817" spans="1:1">
      <c r="A817" s="1"/>
    </row>
    <row r="818" spans="1:1">
      <c r="A818" s="1"/>
    </row>
    <row r="819" spans="1:1">
      <c r="A819" s="1"/>
    </row>
    <row r="820" spans="1:1">
      <c r="A820" s="1"/>
    </row>
    <row r="821" spans="1:1">
      <c r="A821" s="1"/>
    </row>
    <row r="822" spans="1:1">
      <c r="A822" s="1"/>
    </row>
    <row r="823" spans="1:1">
      <c r="A823" s="1"/>
    </row>
    <row r="824" spans="1:1">
      <c r="A824" s="1"/>
    </row>
    <row r="825" spans="1:1">
      <c r="A825" s="1"/>
    </row>
    <row r="826" spans="1:1">
      <c r="A826" s="1"/>
    </row>
    <row r="827" spans="1:1">
      <c r="A827" s="1"/>
    </row>
    <row r="828" spans="1:1">
      <c r="A828" s="1"/>
    </row>
    <row r="829" spans="1:1">
      <c r="A829" s="1"/>
    </row>
    <row r="830" spans="1:1">
      <c r="A830" s="1"/>
    </row>
    <row r="831" spans="1:1">
      <c r="A831" s="1"/>
    </row>
    <row r="832" spans="1:1">
      <c r="A832" s="1"/>
    </row>
    <row r="833" spans="1:1">
      <c r="A833" s="1"/>
    </row>
    <row r="834" spans="1:1">
      <c r="A834" s="1"/>
    </row>
    <row r="835" spans="1:1">
      <c r="A835" s="1"/>
    </row>
    <row r="836" spans="1:1">
      <c r="A836" s="1"/>
    </row>
    <row r="837" spans="1:1">
      <c r="A837" s="1"/>
    </row>
    <row r="838" spans="1:1">
      <c r="A838" s="1"/>
    </row>
    <row r="839" spans="1:1">
      <c r="A839" s="1"/>
    </row>
    <row r="840" spans="1:1">
      <c r="A840" s="1"/>
    </row>
    <row r="841" spans="1:1">
      <c r="A841" s="1"/>
    </row>
    <row r="842" spans="1:1">
      <c r="A842" s="1"/>
    </row>
    <row r="843" spans="1:1">
      <c r="A843" s="1"/>
    </row>
    <row r="844" spans="1:1">
      <c r="A844" s="1"/>
    </row>
    <row r="845" spans="1:1">
      <c r="A845" s="1"/>
    </row>
    <row r="846" spans="1:1">
      <c r="A846" s="1"/>
    </row>
    <row r="847" spans="1:1">
      <c r="A847" s="1"/>
    </row>
    <row r="848" spans="1:1">
      <c r="A848" s="1"/>
    </row>
    <row r="849" spans="1:1">
      <c r="A849" s="1"/>
    </row>
    <row r="850" spans="1:1">
      <c r="A850" s="1"/>
    </row>
    <row r="851" spans="1:1">
      <c r="A851" s="1"/>
    </row>
    <row r="852" spans="1:1">
      <c r="A852" s="1"/>
    </row>
    <row r="853" spans="1:1">
      <c r="A853" s="1"/>
    </row>
    <row r="854" spans="1:1">
      <c r="A854" s="1"/>
    </row>
    <row r="855" spans="1:1">
      <c r="A855" s="1"/>
    </row>
    <row r="856" spans="1:1">
      <c r="A856" s="1"/>
    </row>
    <row r="857" spans="1:1">
      <c r="A857" s="1"/>
    </row>
    <row r="858" spans="1:1">
      <c r="A858" s="1"/>
    </row>
    <row r="859" spans="1:1">
      <c r="A859" s="1"/>
    </row>
    <row r="860" spans="1:1">
      <c r="A860" s="1"/>
    </row>
    <row r="861" spans="1:1">
      <c r="A861" s="1"/>
    </row>
    <row r="862" spans="1:1">
      <c r="A862" s="1"/>
    </row>
    <row r="863" spans="1:1">
      <c r="A863" s="1"/>
    </row>
    <row r="864" spans="1:1">
      <c r="A864" s="1"/>
    </row>
    <row r="865" spans="1:1">
      <c r="A865" s="1"/>
    </row>
    <row r="866" spans="1:1">
      <c r="A866" s="1"/>
    </row>
    <row r="867" spans="1:1">
      <c r="A867" s="1"/>
    </row>
    <row r="868" spans="1:1">
      <c r="A868" s="1"/>
    </row>
    <row r="869" spans="1:1">
      <c r="A869" s="1"/>
    </row>
    <row r="870" spans="1:1">
      <c r="A870" s="1"/>
    </row>
    <row r="871" spans="1:1">
      <c r="A871" s="1"/>
    </row>
    <row r="872" spans="1:1">
      <c r="A872" s="1"/>
    </row>
    <row r="873" spans="1:1">
      <c r="A873" s="1"/>
    </row>
    <row r="874" spans="1:1">
      <c r="A874" s="1"/>
    </row>
    <row r="875" spans="1:1">
      <c r="A875" s="1"/>
    </row>
    <row r="876" spans="1:1">
      <c r="A876" s="1"/>
    </row>
    <row r="877" spans="1:1">
      <c r="A877" s="1"/>
    </row>
    <row r="878" spans="1:1">
      <c r="A878" s="1"/>
    </row>
    <row r="879" spans="1:1">
      <c r="A879" s="1"/>
    </row>
    <row r="880" spans="1:1">
      <c r="A880" s="1"/>
    </row>
    <row r="881" spans="1:1">
      <c r="A881" s="1"/>
    </row>
    <row r="882" spans="1:1">
      <c r="A882" s="1"/>
    </row>
    <row r="883" spans="1:1">
      <c r="A883" s="1"/>
    </row>
    <row r="884" spans="1:1">
      <c r="A884" s="1"/>
    </row>
    <row r="885" spans="1:1">
      <c r="A885" s="1"/>
    </row>
    <row r="886" spans="1:1">
      <c r="A886" s="1"/>
    </row>
    <row r="887" spans="1:1">
      <c r="A887" s="1"/>
    </row>
    <row r="888" spans="1:1">
      <c r="A888" s="1"/>
    </row>
    <row r="889" spans="1:1">
      <c r="A889" s="1"/>
    </row>
    <row r="890" spans="1:1">
      <c r="A890" s="1"/>
    </row>
    <row r="891" spans="1:1">
      <c r="A891" s="1"/>
    </row>
    <row r="892" spans="1:1">
      <c r="A892" s="1"/>
    </row>
    <row r="893" spans="1:1">
      <c r="A893" s="1"/>
    </row>
    <row r="894" spans="1:1">
      <c r="A894" s="1"/>
    </row>
    <row r="895" spans="1:1">
      <c r="A895" s="1"/>
    </row>
    <row r="896" spans="1:1">
      <c r="A896" s="1"/>
    </row>
    <row r="897" spans="1:1">
      <c r="A897" s="1"/>
    </row>
    <row r="898" spans="1:1">
      <c r="A898" s="1"/>
    </row>
    <row r="899" spans="1:1">
      <c r="A899" s="1"/>
    </row>
    <row r="900" spans="1:1">
      <c r="A900" s="1"/>
    </row>
    <row r="901" spans="1:1">
      <c r="A901" s="1"/>
    </row>
    <row r="902" spans="1:1">
      <c r="A902" s="1"/>
    </row>
    <row r="903" spans="1:1">
      <c r="A903" s="1"/>
    </row>
    <row r="904" spans="1:1">
      <c r="A904" s="1"/>
    </row>
    <row r="905" spans="1:1">
      <c r="A905" s="1"/>
    </row>
    <row r="906" spans="1:1">
      <c r="A906" s="1"/>
    </row>
    <row r="907" spans="1:1">
      <c r="A907" s="1"/>
    </row>
    <row r="908" spans="1:1">
      <c r="A908" s="1"/>
    </row>
    <row r="909" spans="1:1">
      <c r="A909" s="1"/>
    </row>
    <row r="910" spans="1:1">
      <c r="A910" s="1"/>
    </row>
    <row r="911" spans="1:1">
      <c r="A911" s="1"/>
    </row>
    <row r="912" spans="1:1">
      <c r="A912" s="1"/>
    </row>
    <row r="913" spans="1:1">
      <c r="A913" s="1"/>
    </row>
    <row r="914" spans="1:1">
      <c r="A914" s="1"/>
    </row>
    <row r="915" spans="1:1">
      <c r="A915" s="1"/>
    </row>
    <row r="916" spans="1:1">
      <c r="A916" s="1"/>
    </row>
    <row r="917" spans="1:1">
      <c r="A917" s="1"/>
    </row>
    <row r="918" spans="1:1">
      <c r="A918" s="1"/>
    </row>
    <row r="919" spans="1:1">
      <c r="A919" s="1"/>
    </row>
    <row r="920" spans="1:1">
      <c r="A920" s="1"/>
    </row>
    <row r="921" spans="1:1">
      <c r="A921" s="1"/>
    </row>
    <row r="922" spans="1:1">
      <c r="A922" s="1"/>
    </row>
    <row r="923" spans="1:1">
      <c r="A923" s="1"/>
    </row>
    <row r="924" spans="1:1">
      <c r="A924" s="1"/>
    </row>
    <row r="925" spans="1:1">
      <c r="A925" s="1"/>
    </row>
    <row r="926" spans="1:1">
      <c r="A926" s="1"/>
    </row>
    <row r="927" spans="1:1">
      <c r="A927" s="1"/>
    </row>
    <row r="928" spans="1:1">
      <c r="A928" s="1"/>
    </row>
    <row r="929" spans="1:1">
      <c r="A929" s="1"/>
    </row>
    <row r="930" spans="1:1">
      <c r="A930" s="1"/>
    </row>
    <row r="931" spans="1:1">
      <c r="A931" s="1"/>
    </row>
    <row r="932" spans="1:1">
      <c r="A932" s="1"/>
    </row>
    <row r="933" spans="1:1">
      <c r="A933" s="1"/>
    </row>
    <row r="934" spans="1:1">
      <c r="A934" s="1"/>
    </row>
    <row r="935" spans="1:1">
      <c r="A935" s="1"/>
    </row>
    <row r="936" spans="1:1">
      <c r="A936" s="1"/>
    </row>
    <row r="937" spans="1:1">
      <c r="A937" s="1"/>
    </row>
    <row r="938" spans="1:1">
      <c r="A938" s="1"/>
    </row>
    <row r="939" spans="1:1">
      <c r="A939" s="1"/>
    </row>
    <row r="940" spans="1:1">
      <c r="A940" s="1"/>
    </row>
    <row r="941" spans="1:1">
      <c r="A941" s="1"/>
    </row>
    <row r="942" spans="1:1">
      <c r="A942" s="1"/>
    </row>
    <row r="943" spans="1:1">
      <c r="A943" s="1"/>
    </row>
    <row r="944" spans="1:1">
      <c r="A944" s="1"/>
    </row>
    <row r="945" spans="1:1">
      <c r="A945" s="1"/>
    </row>
    <row r="946" spans="1:1">
      <c r="A946" s="1"/>
    </row>
    <row r="947" spans="1:1">
      <c r="A947" s="1"/>
    </row>
    <row r="948" spans="1:1">
      <c r="A948" s="1"/>
    </row>
    <row r="949" spans="1:1">
      <c r="A949" s="1"/>
    </row>
    <row r="950" spans="1:1">
      <c r="A950" s="1"/>
    </row>
    <row r="951" spans="1:1">
      <c r="A951" s="1"/>
    </row>
    <row r="952" spans="1:1">
      <c r="A952" s="1"/>
    </row>
    <row r="953" spans="1:1">
      <c r="A953" s="1"/>
    </row>
    <row r="954" spans="1:1">
      <c r="A954" s="1"/>
    </row>
    <row r="955" spans="1:1">
      <c r="A955" s="1"/>
    </row>
    <row r="956" spans="1:1">
      <c r="A956" s="1"/>
    </row>
    <row r="957" spans="1:1">
      <c r="A957" s="1"/>
    </row>
    <row r="958" spans="1:1">
      <c r="A958" s="1"/>
    </row>
    <row r="959" spans="1:1">
      <c r="A959" s="1"/>
    </row>
    <row r="960" spans="1:1">
      <c r="A960" s="1"/>
    </row>
    <row r="961" spans="1:1">
      <c r="A961" s="1"/>
    </row>
    <row r="962" spans="1:1">
      <c r="A962" s="1"/>
    </row>
    <row r="963" spans="1:1">
      <c r="A963" s="1"/>
    </row>
    <row r="964" spans="1:1">
      <c r="A964" s="1"/>
    </row>
    <row r="965" spans="1:1">
      <c r="A965" s="1"/>
    </row>
    <row r="966" spans="1:1">
      <c r="A966" s="1"/>
    </row>
    <row r="967" spans="1:1">
      <c r="A967" s="1"/>
    </row>
    <row r="968" spans="1:1">
      <c r="A968" s="1"/>
    </row>
    <row r="969" spans="1:1">
      <c r="A969" s="1"/>
    </row>
    <row r="970" spans="1:1">
      <c r="A970" s="1"/>
    </row>
    <row r="971" spans="1:1">
      <c r="A971" s="1"/>
    </row>
    <row r="972" spans="1:1">
      <c r="A972" s="1"/>
    </row>
    <row r="973" spans="1:1">
      <c r="A973" s="1"/>
    </row>
    <row r="974" spans="1:1">
      <c r="A974" s="1"/>
    </row>
    <row r="975" spans="1:1">
      <c r="A975" s="1"/>
    </row>
    <row r="976" spans="1:1">
      <c r="A976" s="1"/>
    </row>
    <row r="977" spans="1:1">
      <c r="A977" s="1"/>
    </row>
    <row r="978" spans="1:1">
      <c r="A978" s="1"/>
    </row>
    <row r="979" spans="1:1">
      <c r="A979" s="1"/>
    </row>
    <row r="980" spans="1:1">
      <c r="A980" s="1"/>
    </row>
    <row r="981" spans="1:1">
      <c r="A981" s="1"/>
    </row>
    <row r="982" spans="1:1">
      <c r="A982" s="1"/>
    </row>
    <row r="983" spans="1:1">
      <c r="A983" s="1"/>
    </row>
    <row r="984" spans="1:1">
      <c r="A984" s="1"/>
    </row>
    <row r="985" spans="1:1">
      <c r="A985" s="1"/>
    </row>
    <row r="986" spans="1:1">
      <c r="A986" s="1"/>
    </row>
    <row r="987" spans="1:1">
      <c r="A987" s="1"/>
    </row>
    <row r="988" spans="1:1">
      <c r="A988" s="1"/>
    </row>
    <row r="989" spans="1:1">
      <c r="A989" s="1"/>
    </row>
    <row r="990" spans="1:1">
      <c r="A990" s="1"/>
    </row>
    <row r="991" spans="1:1">
      <c r="A991" s="1"/>
    </row>
    <row r="992" spans="1:1">
      <c r="A992" s="1"/>
    </row>
    <row r="993" spans="1:1">
      <c r="A993" s="1"/>
    </row>
    <row r="994" spans="1:1">
      <c r="A994" s="1"/>
    </row>
    <row r="995" spans="1:1">
      <c r="A995" s="1"/>
    </row>
    <row r="996" spans="1:1">
      <c r="A996" s="1"/>
    </row>
    <row r="997" spans="1:1">
      <c r="A997" s="1"/>
    </row>
    <row r="998" spans="1:1">
      <c r="A998" s="1"/>
    </row>
    <row r="999" spans="1:1">
      <c r="A999" s="1"/>
    </row>
    <row r="1000" spans="1:1">
      <c r="A1000" s="1"/>
    </row>
    <row r="1001" spans="1:1">
      <c r="A1001" s="1"/>
    </row>
    <row r="1002" spans="1:1">
      <c r="A1002" s="1"/>
    </row>
    <row r="1003" spans="1:1">
      <c r="A1003" s="1"/>
    </row>
    <row r="1004" spans="1:1">
      <c r="A1004" s="1"/>
    </row>
    <row r="1005" spans="1:1">
      <c r="A1005" s="1"/>
    </row>
    <row r="1006" spans="1:1">
      <c r="A1006" s="1"/>
    </row>
    <row r="1007" spans="1:1">
      <c r="A1007" s="1"/>
    </row>
    <row r="1008" spans="1:1">
      <c r="A1008" s="1"/>
    </row>
    <row r="1009" spans="1:1">
      <c r="A1009" s="1"/>
    </row>
    <row r="1010" spans="1:1">
      <c r="A1010" s="1"/>
    </row>
    <row r="1011" spans="1:1">
      <c r="A1011" s="1"/>
    </row>
    <row r="1012" spans="1:1">
      <c r="A1012" s="1"/>
    </row>
    <row r="1013" spans="1:1">
      <c r="A1013" s="1"/>
    </row>
    <row r="1014" spans="1:1">
      <c r="A1014" s="1"/>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9</vt:i4>
      </vt:variant>
    </vt:vector>
  </HeadingPairs>
  <TitlesOfParts>
    <vt:vector size="11" baseType="lpstr">
      <vt:lpstr>作成</vt:lpstr>
      <vt:lpstr>使い方・使用許諾</vt:lpstr>
      <vt:lpstr>作成!Print_Area</vt:lpstr>
      <vt:lpstr>基準月</vt:lpstr>
      <vt:lpstr>基準日</vt:lpstr>
      <vt:lpstr>基準曜日</vt:lpstr>
      <vt:lpstr>起算日時間</vt:lpstr>
      <vt:lpstr>起算日曜日</vt:lpstr>
      <vt:lpstr>週</vt:lpstr>
      <vt:lpstr>初月</vt:lpstr>
      <vt:lpstr>先週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篠原 宏治</dc:creator>
  <cp:lastModifiedBy>篠原 宏治</cp:lastModifiedBy>
  <cp:lastPrinted>2024-01-11T08:11:47Z</cp:lastPrinted>
  <dcterms:created xsi:type="dcterms:W3CDTF">2022-03-17T01:26:14Z</dcterms:created>
  <dcterms:modified xsi:type="dcterms:W3CDTF">2024-02-24T12:35:45Z</dcterms:modified>
</cp:coreProperties>
</file>